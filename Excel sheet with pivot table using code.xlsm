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lsy\Desktop\"/>
    </mc:Choice>
  </mc:AlternateContent>
  <xr:revisionPtr revIDLastSave="0" documentId="8_{429F4AF7-F533-48BD-AD3F-6A8C36FD5382}" xr6:coauthVersionLast="47" xr6:coauthVersionMax="47" xr10:uidLastSave="{00000000-0000-0000-0000-000000000000}"/>
  <bookViews>
    <workbookView xWindow="-120" yWindow="-120" windowWidth="29040" windowHeight="15840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6" r:id="rId5"/>
  </sheets>
  <externalReferences>
    <externalReference r:id="rId6"/>
  </externalReferences>
  <definedNames>
    <definedName name="_xleta.MID" hidden="1" xlm="1">#NAME?</definedName>
    <definedName name="_xleta.TIME" hidden="1" xlm="1">#NAME?</definedName>
    <definedName name="BData">Break!$A:$I</definedName>
    <definedName name="E_Data">Efficiency!$A:$Q</definedName>
    <definedName name="EData">Efficiency!$A:$Q</definedName>
    <definedName name="PData">'OverAll Performance'!$A:$J</definedName>
  </definedNames>
  <calcPr calcId="191029" iterateCount="1000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/>
  <c r="C5" i="4"/>
  <c r="C4" i="4"/>
  <c r="C3" i="4"/>
  <c r="C2" i="4"/>
  <c r="B9" i="4"/>
  <c r="B8" i="4"/>
  <c r="B6" i="4"/>
  <c r="B5" i="4"/>
  <c r="B4" i="4"/>
  <c r="B3" i="4"/>
  <c r="B2" i="4"/>
  <c r="A2" i="4"/>
  <c r="D2" i="4"/>
  <c r="F8" i="4"/>
  <c r="F11" i="4"/>
  <c r="F23" i="4"/>
  <c r="F51" i="4"/>
  <c r="F123" i="4"/>
  <c r="E3" i="4"/>
  <c r="E11" i="4"/>
  <c r="E12" i="4"/>
  <c r="E19" i="4"/>
  <c r="E23" i="4"/>
  <c r="E32" i="4"/>
  <c r="E39" i="4"/>
  <c r="E40" i="4"/>
  <c r="E47" i="4"/>
  <c r="E55" i="4"/>
  <c r="E63" i="4"/>
  <c r="E71" i="4"/>
  <c r="E83" i="4"/>
  <c r="E99" i="4"/>
  <c r="E111" i="4"/>
  <c r="E119" i="4"/>
  <c r="E127" i="4"/>
  <c r="E135" i="4"/>
  <c r="E147" i="4"/>
  <c r="D4" i="4"/>
  <c r="D7" i="4"/>
  <c r="D12" i="4"/>
  <c r="D19" i="4"/>
  <c r="D20" i="4"/>
  <c r="D28" i="4"/>
  <c r="D35" i="4"/>
  <c r="D40" i="4"/>
  <c r="D47" i="4"/>
  <c r="D55" i="4"/>
  <c r="D56" i="4"/>
  <c r="D63" i="4"/>
  <c r="D68" i="4"/>
  <c r="D71" i="4"/>
  <c r="D76" i="4"/>
  <c r="D83" i="4"/>
  <c r="D84" i="4"/>
  <c r="D92" i="4"/>
  <c r="D96" i="4"/>
  <c r="D103" i="4"/>
  <c r="D107" i="4"/>
  <c r="D108" i="4"/>
  <c r="D112" i="4"/>
  <c r="D119" i="4"/>
  <c r="D123" i="4"/>
  <c r="D124" i="4"/>
  <c r="D128" i="4"/>
  <c r="D135" i="4"/>
  <c r="D139" i="4"/>
  <c r="D140" i="4"/>
  <c r="D144" i="4"/>
  <c r="C7" i="4"/>
  <c r="C11" i="4"/>
  <c r="C23" i="4"/>
  <c r="C27" i="4"/>
  <c r="C39" i="4"/>
  <c r="C43" i="4"/>
  <c r="C55" i="4"/>
  <c r="C59" i="4"/>
  <c r="C71" i="4"/>
  <c r="C75" i="4"/>
  <c r="C87" i="4"/>
  <c r="C91" i="4"/>
  <c r="C103" i="4"/>
  <c r="C107" i="4"/>
  <c r="C119" i="4"/>
  <c r="C123" i="4"/>
  <c r="C135" i="4"/>
  <c r="C139" i="4"/>
  <c r="B12" i="4"/>
  <c r="B13" i="4"/>
  <c r="B23" i="4"/>
  <c r="B27" i="4"/>
  <c r="B31" i="4"/>
  <c r="B35" i="4"/>
  <c r="B39" i="4"/>
  <c r="B43" i="4"/>
  <c r="B47" i="4"/>
  <c r="B51" i="4"/>
  <c r="B55" i="4"/>
  <c r="B59" i="4"/>
  <c r="B63" i="4"/>
  <c r="B67" i="4"/>
  <c r="B71" i="4"/>
  <c r="B75" i="4"/>
  <c r="B79" i="4"/>
  <c r="B83" i="4"/>
  <c r="B87" i="4"/>
  <c r="B91" i="4"/>
  <c r="B95" i="4"/>
  <c r="B99" i="4"/>
  <c r="B103" i="4"/>
  <c r="B107" i="4"/>
  <c r="B111" i="4"/>
  <c r="B115" i="4"/>
  <c r="B119" i="4"/>
  <c r="B123" i="4"/>
  <c r="B127" i="4"/>
  <c r="B131" i="4"/>
  <c r="B135" i="4"/>
  <c r="B139" i="4"/>
  <c r="B143" i="4"/>
  <c r="B147" i="4"/>
  <c r="A3" i="4"/>
  <c r="F3" i="4" s="1"/>
  <c r="A4" i="4"/>
  <c r="A5" i="4"/>
  <c r="A6" i="4"/>
  <c r="A7" i="4"/>
  <c r="A8" i="4"/>
  <c r="C8" i="4" s="1"/>
  <c r="A9" i="4"/>
  <c r="A10" i="4"/>
  <c r="A11" i="4"/>
  <c r="A12" i="4"/>
  <c r="A13" i="4"/>
  <c r="C13" i="4" s="1"/>
  <c r="A14" i="4"/>
  <c r="A15" i="4"/>
  <c r="C15" i="4" s="1"/>
  <c r="A16" i="4"/>
  <c r="B16" i="4" s="1"/>
  <c r="A17" i="4"/>
  <c r="G17" i="4" s="1"/>
  <c r="A18" i="4"/>
  <c r="E18" i="4" s="1"/>
  <c r="A19" i="4"/>
  <c r="A20" i="4"/>
  <c r="A21" i="4"/>
  <c r="A22" i="4"/>
  <c r="A23" i="4"/>
  <c r="G23" i="4" s="1"/>
  <c r="A24" i="4"/>
  <c r="C24" i="4" s="1"/>
  <c r="A25" i="4"/>
  <c r="A26" i="4"/>
  <c r="C26" i="4" s="1"/>
  <c r="A27" i="4"/>
  <c r="E27" i="4" s="1"/>
  <c r="A28" i="4"/>
  <c r="A29" i="4"/>
  <c r="C29" i="4" s="1"/>
  <c r="A30" i="4"/>
  <c r="A31" i="4"/>
  <c r="D31" i="4" s="1"/>
  <c r="A32" i="4"/>
  <c r="F32" i="4" s="1"/>
  <c r="A33" i="4"/>
  <c r="A34" i="4"/>
  <c r="D34" i="4" s="1"/>
  <c r="A35" i="4"/>
  <c r="A36" i="4"/>
  <c r="A37" i="4"/>
  <c r="A38" i="4"/>
  <c r="A39" i="4"/>
  <c r="G39" i="4" s="1"/>
  <c r="A40" i="4"/>
  <c r="A41" i="4"/>
  <c r="A42" i="4"/>
  <c r="A43" i="4"/>
  <c r="A44" i="4"/>
  <c r="C44" i="4" s="1"/>
  <c r="A45" i="4"/>
  <c r="D45" i="4" s="1"/>
  <c r="A46" i="4"/>
  <c r="D46" i="4" s="1"/>
  <c r="A47" i="4"/>
  <c r="C47" i="4" s="1"/>
  <c r="A48" i="4"/>
  <c r="A49" i="4"/>
  <c r="E49" i="4" s="1"/>
  <c r="A50" i="4"/>
  <c r="D50" i="4" s="1"/>
  <c r="A51" i="4"/>
  <c r="G51" i="4" s="1"/>
  <c r="A52" i="4"/>
  <c r="E52" i="4" s="1"/>
  <c r="A53" i="4"/>
  <c r="F53" i="4" s="1"/>
  <c r="A54" i="4"/>
  <c r="A55" i="4"/>
  <c r="A56" i="4"/>
  <c r="E56" i="4" s="1"/>
  <c r="A57" i="4"/>
  <c r="A58" i="4"/>
  <c r="A59" i="4"/>
  <c r="A60" i="4"/>
  <c r="C60" i="4" s="1"/>
  <c r="A61" i="4"/>
  <c r="C61" i="4" s="1"/>
  <c r="A62" i="4"/>
  <c r="D62" i="4" s="1"/>
  <c r="A63" i="4"/>
  <c r="C63" i="4" s="1"/>
  <c r="A64" i="4"/>
  <c r="A65" i="4"/>
  <c r="D65" i="4" s="1"/>
  <c r="A66" i="4"/>
  <c r="C66" i="4" s="1"/>
  <c r="A67" i="4"/>
  <c r="G67" i="4" s="1"/>
  <c r="A68" i="4"/>
  <c r="E68" i="4" s="1"/>
  <c r="A69" i="4"/>
  <c r="A70" i="4"/>
  <c r="A71" i="4"/>
  <c r="A72" i="4"/>
  <c r="C72" i="4" s="1"/>
  <c r="A73" i="4"/>
  <c r="A74" i="4"/>
  <c r="D74" i="4" s="1"/>
  <c r="A75" i="4"/>
  <c r="F75" i="4" s="1"/>
  <c r="A76" i="4"/>
  <c r="E76" i="4" s="1"/>
  <c r="A77" i="4"/>
  <c r="E77" i="4" s="1"/>
  <c r="A78" i="4"/>
  <c r="D78" i="4" s="1"/>
  <c r="A79" i="4"/>
  <c r="C79" i="4" s="1"/>
  <c r="A80" i="4"/>
  <c r="F80" i="4" s="1"/>
  <c r="A81" i="4"/>
  <c r="D81" i="4" s="1"/>
  <c r="A82" i="4"/>
  <c r="A83" i="4"/>
  <c r="A84" i="4"/>
  <c r="E84" i="4" s="1"/>
  <c r="A85" i="4"/>
  <c r="A86" i="4"/>
  <c r="A87" i="4"/>
  <c r="G87" i="4" s="1"/>
  <c r="A88" i="4"/>
  <c r="C88" i="4" s="1"/>
  <c r="A89" i="4"/>
  <c r="A90" i="4"/>
  <c r="C90" i="4" s="1"/>
  <c r="A91" i="4"/>
  <c r="A92" i="4"/>
  <c r="E92" i="4" s="1"/>
  <c r="A93" i="4"/>
  <c r="D93" i="4" s="1"/>
  <c r="A94" i="4"/>
  <c r="A95" i="4"/>
  <c r="E95" i="4" s="1"/>
  <c r="A96" i="4"/>
  <c r="G96" i="4" s="1"/>
  <c r="A97" i="4"/>
  <c r="B97" i="4" s="1"/>
  <c r="A98" i="4"/>
  <c r="A99" i="4"/>
  <c r="A100" i="4"/>
  <c r="D100" i="4" s="1"/>
  <c r="A101" i="4"/>
  <c r="A102" i="4"/>
  <c r="C102" i="4" s="1"/>
  <c r="A103" i="4"/>
  <c r="G103" i="4" s="1"/>
  <c r="A104" i="4"/>
  <c r="E104" i="4" s="1"/>
  <c r="A105" i="4"/>
  <c r="E105" i="4" s="1"/>
  <c r="A106" i="4"/>
  <c r="A107" i="4"/>
  <c r="A108" i="4"/>
  <c r="C108" i="4" s="1"/>
  <c r="A109" i="4"/>
  <c r="D109" i="4" s="1"/>
  <c r="A110" i="4"/>
  <c r="A111" i="4"/>
  <c r="D111" i="4" s="1"/>
  <c r="A112" i="4"/>
  <c r="A113" i="4"/>
  <c r="B113" i="4" s="1"/>
  <c r="A114" i="4"/>
  <c r="D114" i="4" s="1"/>
  <c r="A115" i="4"/>
  <c r="G115" i="4" s="1"/>
  <c r="A116" i="4"/>
  <c r="E116" i="4" s="1"/>
  <c r="A117" i="4"/>
  <c r="G117" i="4" s="1"/>
  <c r="A118" i="4"/>
  <c r="B118" i="4" s="1"/>
  <c r="A119" i="4"/>
  <c r="A120" i="4"/>
  <c r="E120" i="4" s="1"/>
  <c r="A121" i="4"/>
  <c r="B121" i="4" s="1"/>
  <c r="A122" i="4"/>
  <c r="A123" i="4"/>
  <c r="A124" i="4"/>
  <c r="C124" i="4" s="1"/>
  <c r="A125" i="4"/>
  <c r="C125" i="4" s="1"/>
  <c r="A126" i="4"/>
  <c r="A127" i="4"/>
  <c r="D127" i="4" s="1"/>
  <c r="A128" i="4"/>
  <c r="A129" i="4"/>
  <c r="D129" i="4" s="1"/>
  <c r="A130" i="4"/>
  <c r="B130" i="4" s="1"/>
  <c r="A131" i="4"/>
  <c r="G131" i="4" s="1"/>
  <c r="A132" i="4"/>
  <c r="D132" i="4" s="1"/>
  <c r="A133" i="4"/>
  <c r="A134" i="4"/>
  <c r="A135" i="4"/>
  <c r="A136" i="4"/>
  <c r="C136" i="4" s="1"/>
  <c r="A137" i="4"/>
  <c r="A138" i="4"/>
  <c r="A139" i="4"/>
  <c r="F139" i="4" s="1"/>
  <c r="A140" i="4"/>
  <c r="E140" i="4" s="1"/>
  <c r="A141" i="4"/>
  <c r="E141" i="4" s="1"/>
  <c r="A142" i="4"/>
  <c r="A143" i="4"/>
  <c r="D143" i="4" s="1"/>
  <c r="A144" i="4"/>
  <c r="G144" i="4" s="1"/>
  <c r="A145" i="4"/>
  <c r="D145" i="4" s="1"/>
  <c r="A146" i="4"/>
  <c r="B146" i="4" s="1"/>
  <c r="A147" i="4"/>
  <c r="A148" i="4"/>
  <c r="D148" i="4" s="1"/>
  <c r="A149" i="4"/>
  <c r="A150" i="4"/>
  <c r="F2" i="4" l="1"/>
  <c r="G2" i="4"/>
  <c r="F142" i="4"/>
  <c r="G142" i="4"/>
  <c r="E142" i="4"/>
  <c r="F134" i="4"/>
  <c r="E134" i="4"/>
  <c r="G134" i="4"/>
  <c r="F122" i="4"/>
  <c r="E122" i="4"/>
  <c r="F110" i="4"/>
  <c r="G110" i="4"/>
  <c r="E110" i="4"/>
  <c r="F98" i="4"/>
  <c r="E98" i="4"/>
  <c r="G98" i="4"/>
  <c r="F94" i="4"/>
  <c r="G94" i="4"/>
  <c r="E94" i="4"/>
  <c r="F82" i="4"/>
  <c r="E82" i="4"/>
  <c r="G82" i="4"/>
  <c r="F70" i="4"/>
  <c r="E70" i="4"/>
  <c r="G70" i="4"/>
  <c r="D70" i="4"/>
  <c r="F54" i="4"/>
  <c r="E54" i="4"/>
  <c r="G54" i="4"/>
  <c r="D54" i="4"/>
  <c r="F42" i="4"/>
  <c r="E42" i="4"/>
  <c r="G42" i="4"/>
  <c r="F30" i="4"/>
  <c r="G30" i="4"/>
  <c r="F14" i="4"/>
  <c r="G14" i="4"/>
  <c r="E14" i="4"/>
  <c r="B18" i="4"/>
  <c r="C146" i="4"/>
  <c r="C141" i="4"/>
  <c r="C130" i="4"/>
  <c r="C114" i="4"/>
  <c r="C109" i="4"/>
  <c r="C98" i="4"/>
  <c r="C93" i="4"/>
  <c r="C82" i="4"/>
  <c r="C77" i="4"/>
  <c r="C50" i="4"/>
  <c r="C45" i="4"/>
  <c r="C34" i="4"/>
  <c r="C18" i="4"/>
  <c r="D146" i="4"/>
  <c r="D130" i="4"/>
  <c r="D98" i="4"/>
  <c r="D42" i="4"/>
  <c r="D14" i="4"/>
  <c r="E148" i="4"/>
  <c r="E113" i="4"/>
  <c r="F124" i="4"/>
  <c r="F109" i="4"/>
  <c r="F96" i="4"/>
  <c r="F81" i="4"/>
  <c r="F67" i="4"/>
  <c r="F39" i="4"/>
  <c r="F24" i="4"/>
  <c r="G145" i="4"/>
  <c r="G130" i="4"/>
  <c r="G102" i="4"/>
  <c r="G88" i="4"/>
  <c r="G74" i="4"/>
  <c r="G60" i="4"/>
  <c r="G45" i="4"/>
  <c r="G32" i="4"/>
  <c r="F150" i="4"/>
  <c r="E150" i="4"/>
  <c r="F138" i="4"/>
  <c r="E138" i="4"/>
  <c r="F126" i="4"/>
  <c r="G126" i="4"/>
  <c r="E126" i="4"/>
  <c r="F114" i="4"/>
  <c r="E114" i="4"/>
  <c r="F106" i="4"/>
  <c r="E106" i="4"/>
  <c r="G106" i="4"/>
  <c r="F86" i="4"/>
  <c r="E86" i="4"/>
  <c r="D86" i="4"/>
  <c r="F78" i="4"/>
  <c r="G78" i="4"/>
  <c r="E78" i="4"/>
  <c r="F66" i="4"/>
  <c r="E66" i="4"/>
  <c r="F58" i="4"/>
  <c r="E58" i="4"/>
  <c r="F50" i="4"/>
  <c r="E50" i="4"/>
  <c r="F38" i="4"/>
  <c r="D38" i="4"/>
  <c r="F22" i="4"/>
  <c r="E22" i="4"/>
  <c r="D22" i="4"/>
  <c r="F10" i="4"/>
  <c r="E10" i="4"/>
  <c r="D149" i="4"/>
  <c r="G149" i="4"/>
  <c r="F149" i="4"/>
  <c r="E149" i="4"/>
  <c r="D141" i="4"/>
  <c r="G141" i="4"/>
  <c r="F141" i="4"/>
  <c r="G137" i="4"/>
  <c r="F137" i="4"/>
  <c r="D137" i="4"/>
  <c r="D133" i="4"/>
  <c r="G133" i="4"/>
  <c r="F133" i="4"/>
  <c r="E133" i="4"/>
  <c r="D125" i="4"/>
  <c r="G125" i="4"/>
  <c r="F125" i="4"/>
  <c r="D117" i="4"/>
  <c r="E117" i="4"/>
  <c r="G105" i="4"/>
  <c r="F105" i="4"/>
  <c r="D105" i="4"/>
  <c r="D101" i="4"/>
  <c r="E101" i="4"/>
  <c r="G89" i="4"/>
  <c r="F89" i="4"/>
  <c r="D89" i="4"/>
  <c r="D85" i="4"/>
  <c r="G85" i="4"/>
  <c r="F85" i="4"/>
  <c r="E85" i="4"/>
  <c r="D77" i="4"/>
  <c r="G77" i="4"/>
  <c r="F77" i="4"/>
  <c r="G73" i="4"/>
  <c r="F73" i="4"/>
  <c r="D73" i="4"/>
  <c r="D69" i="4"/>
  <c r="G69" i="4"/>
  <c r="F69" i="4"/>
  <c r="E69" i="4"/>
  <c r="D61" i="4"/>
  <c r="G61" i="4"/>
  <c r="F61" i="4"/>
  <c r="G57" i="4"/>
  <c r="F57" i="4"/>
  <c r="D57" i="4"/>
  <c r="D53" i="4"/>
  <c r="E53" i="4"/>
  <c r="D49" i="4"/>
  <c r="G49" i="4"/>
  <c r="F49" i="4"/>
  <c r="E41" i="4"/>
  <c r="G41" i="4"/>
  <c r="F41" i="4"/>
  <c r="D41" i="4"/>
  <c r="E37" i="4"/>
  <c r="D37" i="4"/>
  <c r="E33" i="4"/>
  <c r="D33" i="4"/>
  <c r="G33" i="4"/>
  <c r="F33" i="4"/>
  <c r="E29" i="4"/>
  <c r="D29" i="4"/>
  <c r="E25" i="4"/>
  <c r="G25" i="4"/>
  <c r="F25" i="4"/>
  <c r="D25" i="4"/>
  <c r="E21" i="4"/>
  <c r="D21" i="4"/>
  <c r="G21" i="4"/>
  <c r="F21" i="4"/>
  <c r="E17" i="4"/>
  <c r="D17" i="4"/>
  <c r="E13" i="4"/>
  <c r="D13" i="4"/>
  <c r="G13" i="4"/>
  <c r="F13" i="4"/>
  <c r="E9" i="4"/>
  <c r="G9" i="4"/>
  <c r="F9" i="4"/>
  <c r="D9" i="4"/>
  <c r="E5" i="4"/>
  <c r="D5" i="4"/>
  <c r="G5" i="4"/>
  <c r="F5" i="4"/>
  <c r="B150" i="4"/>
  <c r="B142" i="4"/>
  <c r="B138" i="4"/>
  <c r="B134" i="4"/>
  <c r="B126" i="4"/>
  <c r="B122" i="4"/>
  <c r="B114" i="4"/>
  <c r="B110" i="4"/>
  <c r="B106" i="4"/>
  <c r="B102" i="4"/>
  <c r="B98" i="4"/>
  <c r="B94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7" i="4"/>
  <c r="C134" i="4"/>
  <c r="C129" i="4"/>
  <c r="C97" i="4"/>
  <c r="C70" i="4"/>
  <c r="C65" i="4"/>
  <c r="C54" i="4"/>
  <c r="D90" i="4"/>
  <c r="D26" i="4"/>
  <c r="E132" i="4"/>
  <c r="E125" i="4"/>
  <c r="E97" i="4"/>
  <c r="E89" i="4"/>
  <c r="E61" i="4"/>
  <c r="E30" i="4"/>
  <c r="F136" i="4"/>
  <c r="F108" i="4"/>
  <c r="F93" i="4"/>
  <c r="F65" i="4"/>
  <c r="F37" i="4"/>
  <c r="G129" i="4"/>
  <c r="G114" i="4"/>
  <c r="G101" i="4"/>
  <c r="G86" i="4"/>
  <c r="G72" i="4"/>
  <c r="G58" i="4"/>
  <c r="G44" i="4"/>
  <c r="G29" i="4"/>
  <c r="G16" i="4"/>
  <c r="G4" i="4"/>
  <c r="F4" i="4"/>
  <c r="E4" i="4"/>
  <c r="B149" i="4"/>
  <c r="B145" i="4"/>
  <c r="B141" i="4"/>
  <c r="B137" i="4"/>
  <c r="B133" i="4"/>
  <c r="B129" i="4"/>
  <c r="B125" i="4"/>
  <c r="B117" i="4"/>
  <c r="B109" i="4"/>
  <c r="B105" i="4"/>
  <c r="B101" i="4"/>
  <c r="B93" i="4"/>
  <c r="B89" i="4"/>
  <c r="B85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0" i="4"/>
  <c r="C149" i="4"/>
  <c r="C143" i="4"/>
  <c r="C138" i="4"/>
  <c r="C133" i="4"/>
  <c r="C127" i="4"/>
  <c r="C122" i="4"/>
  <c r="C117" i="4"/>
  <c r="C111" i="4"/>
  <c r="C106" i="4"/>
  <c r="C101" i="4"/>
  <c r="C95" i="4"/>
  <c r="C85" i="4"/>
  <c r="C74" i="4"/>
  <c r="C69" i="4"/>
  <c r="C58" i="4"/>
  <c r="C53" i="4"/>
  <c r="C42" i="4"/>
  <c r="C37" i="4"/>
  <c r="C31" i="4"/>
  <c r="C21" i="4"/>
  <c r="C10" i="4"/>
  <c r="D138" i="4"/>
  <c r="D122" i="4"/>
  <c r="D116" i="4"/>
  <c r="D106" i="4"/>
  <c r="D95" i="4"/>
  <c r="D88" i="4"/>
  <c r="D82" i="4"/>
  <c r="D67" i="4"/>
  <c r="D60" i="4"/>
  <c r="D52" i="4"/>
  <c r="D39" i="4"/>
  <c r="D24" i="4"/>
  <c r="D18" i="4"/>
  <c r="D10" i="4"/>
  <c r="D3" i="4"/>
  <c r="E145" i="4"/>
  <c r="E137" i="4"/>
  <c r="E131" i="4"/>
  <c r="E124" i="4"/>
  <c r="E109" i="4"/>
  <c r="E103" i="4"/>
  <c r="E88" i="4"/>
  <c r="E81" i="4"/>
  <c r="E73" i="4"/>
  <c r="E67" i="4"/>
  <c r="E60" i="4"/>
  <c r="E45" i="4"/>
  <c r="E38" i="4"/>
  <c r="E8" i="4"/>
  <c r="F145" i="4"/>
  <c r="F131" i="4"/>
  <c r="F117" i="4"/>
  <c r="F103" i="4"/>
  <c r="F88" i="4"/>
  <c r="F60" i="4"/>
  <c r="F45" i="4"/>
  <c r="F17" i="4"/>
  <c r="G138" i="4"/>
  <c r="G124" i="4"/>
  <c r="G109" i="4"/>
  <c r="G81" i="4"/>
  <c r="G66" i="4"/>
  <c r="G53" i="4"/>
  <c r="G38" i="4"/>
  <c r="G24" i="4"/>
  <c r="G10" i="4"/>
  <c r="F146" i="4"/>
  <c r="E146" i="4"/>
  <c r="G146" i="4"/>
  <c r="F130" i="4"/>
  <c r="E130" i="4"/>
  <c r="F118" i="4"/>
  <c r="E118" i="4"/>
  <c r="G118" i="4"/>
  <c r="F102" i="4"/>
  <c r="E102" i="4"/>
  <c r="F90" i="4"/>
  <c r="E90" i="4"/>
  <c r="G90" i="4"/>
  <c r="F74" i="4"/>
  <c r="E74" i="4"/>
  <c r="F62" i="4"/>
  <c r="G62" i="4"/>
  <c r="E62" i="4"/>
  <c r="F46" i="4"/>
  <c r="G46" i="4"/>
  <c r="E46" i="4"/>
  <c r="F34" i="4"/>
  <c r="G34" i="4"/>
  <c r="F26" i="4"/>
  <c r="E26" i="4"/>
  <c r="G26" i="4"/>
  <c r="F18" i="4"/>
  <c r="G18" i="4"/>
  <c r="F6" i="4"/>
  <c r="G6" i="4"/>
  <c r="D6" i="4"/>
  <c r="G121" i="4"/>
  <c r="F121" i="4"/>
  <c r="D121" i="4"/>
  <c r="D113" i="4"/>
  <c r="G113" i="4"/>
  <c r="F113" i="4"/>
  <c r="D97" i="4"/>
  <c r="G97" i="4"/>
  <c r="F97" i="4"/>
  <c r="C150" i="4"/>
  <c r="C145" i="4"/>
  <c r="C118" i="4"/>
  <c r="C113" i="4"/>
  <c r="C86" i="4"/>
  <c r="C81" i="4"/>
  <c r="C49" i="4"/>
  <c r="C38" i="4"/>
  <c r="C33" i="4"/>
  <c r="C22" i="4"/>
  <c r="C17" i="4"/>
  <c r="D150" i="4"/>
  <c r="D134" i="4"/>
  <c r="D118" i="4"/>
  <c r="D102" i="4"/>
  <c r="G148" i="4"/>
  <c r="F148" i="4"/>
  <c r="C148" i="4"/>
  <c r="C144" i="4"/>
  <c r="E144" i="4"/>
  <c r="C140" i="4"/>
  <c r="G140" i="4"/>
  <c r="F140" i="4"/>
  <c r="G132" i="4"/>
  <c r="F132" i="4"/>
  <c r="C132" i="4"/>
  <c r="C128" i="4"/>
  <c r="G128" i="4"/>
  <c r="F128" i="4"/>
  <c r="E128" i="4"/>
  <c r="C120" i="4"/>
  <c r="G120" i="4"/>
  <c r="F120" i="4"/>
  <c r="G116" i="4"/>
  <c r="F116" i="4"/>
  <c r="C116" i="4"/>
  <c r="C112" i="4"/>
  <c r="G112" i="4"/>
  <c r="F112" i="4"/>
  <c r="E112" i="4"/>
  <c r="C104" i="4"/>
  <c r="G104" i="4"/>
  <c r="F104" i="4"/>
  <c r="G100" i="4"/>
  <c r="F100" i="4"/>
  <c r="C100" i="4"/>
  <c r="C96" i="4"/>
  <c r="E96" i="4"/>
  <c r="C92" i="4"/>
  <c r="G92" i="4"/>
  <c r="F92" i="4"/>
  <c r="G84" i="4"/>
  <c r="F84" i="4"/>
  <c r="C84" i="4"/>
  <c r="C80" i="4"/>
  <c r="E80" i="4"/>
  <c r="D80" i="4"/>
  <c r="C76" i="4"/>
  <c r="G76" i="4"/>
  <c r="F76" i="4"/>
  <c r="G68" i="4"/>
  <c r="F68" i="4"/>
  <c r="C68" i="4"/>
  <c r="C64" i="4"/>
  <c r="G64" i="4"/>
  <c r="F64" i="4"/>
  <c r="E64" i="4"/>
  <c r="D64" i="4"/>
  <c r="C56" i="4"/>
  <c r="G56" i="4"/>
  <c r="F56" i="4"/>
  <c r="G52" i="4"/>
  <c r="F52" i="4"/>
  <c r="C52" i="4"/>
  <c r="C48" i="4"/>
  <c r="G48" i="4"/>
  <c r="F48" i="4"/>
  <c r="E48" i="4"/>
  <c r="D48" i="4"/>
  <c r="C40" i="4"/>
  <c r="G40" i="4"/>
  <c r="F40" i="4"/>
  <c r="G36" i="4"/>
  <c r="F36" i="4"/>
  <c r="E36" i="4"/>
  <c r="C36" i="4"/>
  <c r="C32" i="4"/>
  <c r="D32" i="4"/>
  <c r="C28" i="4"/>
  <c r="G28" i="4"/>
  <c r="F28" i="4"/>
  <c r="E28" i="4"/>
  <c r="G20" i="4"/>
  <c r="F20" i="4"/>
  <c r="E20" i="4"/>
  <c r="C20" i="4"/>
  <c r="C16" i="4"/>
  <c r="D16" i="4"/>
  <c r="C12" i="4"/>
  <c r="G12" i="4"/>
  <c r="F12" i="4"/>
  <c r="G147" i="4"/>
  <c r="F147" i="4"/>
  <c r="G143" i="4"/>
  <c r="F143" i="4"/>
  <c r="G139" i="4"/>
  <c r="E139" i="4"/>
  <c r="G135" i="4"/>
  <c r="F135" i="4"/>
  <c r="G127" i="4"/>
  <c r="F127" i="4"/>
  <c r="G123" i="4"/>
  <c r="E123" i="4"/>
  <c r="G119" i="4"/>
  <c r="F119" i="4"/>
  <c r="G111" i="4"/>
  <c r="F111" i="4"/>
  <c r="G107" i="4"/>
  <c r="F107" i="4"/>
  <c r="E107" i="4"/>
  <c r="G99" i="4"/>
  <c r="F99" i="4"/>
  <c r="G95" i="4"/>
  <c r="F95" i="4"/>
  <c r="G91" i="4"/>
  <c r="F91" i="4"/>
  <c r="E91" i="4"/>
  <c r="D91" i="4"/>
  <c r="G83" i="4"/>
  <c r="F83" i="4"/>
  <c r="G79" i="4"/>
  <c r="F79" i="4"/>
  <c r="G75" i="4"/>
  <c r="E75" i="4"/>
  <c r="D75" i="4"/>
  <c r="G71" i="4"/>
  <c r="F71" i="4"/>
  <c r="G63" i="4"/>
  <c r="F63" i="4"/>
  <c r="G59" i="4"/>
  <c r="E59" i="4"/>
  <c r="D59" i="4"/>
  <c r="G55" i="4"/>
  <c r="F55" i="4"/>
  <c r="G47" i="4"/>
  <c r="F47" i="4"/>
  <c r="G43" i="4"/>
  <c r="F43" i="4"/>
  <c r="E43" i="4"/>
  <c r="D43" i="4"/>
  <c r="G35" i="4"/>
  <c r="F35" i="4"/>
  <c r="E35" i="4"/>
  <c r="G31" i="4"/>
  <c r="F31" i="4"/>
  <c r="E31" i="4"/>
  <c r="G27" i="4"/>
  <c r="F27" i="4"/>
  <c r="D27" i="4"/>
  <c r="G19" i="4"/>
  <c r="B19" i="4"/>
  <c r="F19" i="4"/>
  <c r="G15" i="4"/>
  <c r="F15" i="4"/>
  <c r="E15" i="4"/>
  <c r="B15" i="4"/>
  <c r="G11" i="4"/>
  <c r="B11" i="4"/>
  <c r="D11" i="4"/>
  <c r="G7" i="4"/>
  <c r="B7" i="4"/>
  <c r="F7" i="4"/>
  <c r="E7" i="4"/>
  <c r="G3" i="4"/>
  <c r="B148" i="4"/>
  <c r="B144" i="4"/>
  <c r="B140" i="4"/>
  <c r="B136" i="4"/>
  <c r="B132" i="4"/>
  <c r="B128" i="4"/>
  <c r="B124" i="4"/>
  <c r="B120" i="4"/>
  <c r="B116" i="4"/>
  <c r="B112" i="4"/>
  <c r="B108" i="4"/>
  <c r="B104" i="4"/>
  <c r="B100" i="4"/>
  <c r="B96" i="4"/>
  <c r="B92" i="4"/>
  <c r="B88" i="4"/>
  <c r="B84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4" i="4"/>
  <c r="C147" i="4"/>
  <c r="C142" i="4"/>
  <c r="C137" i="4"/>
  <c r="C131" i="4"/>
  <c r="C126" i="4"/>
  <c r="C121" i="4"/>
  <c r="C115" i="4"/>
  <c r="C110" i="4"/>
  <c r="C105" i="4"/>
  <c r="C99" i="4"/>
  <c r="C94" i="4"/>
  <c r="C89" i="4"/>
  <c r="C83" i="4"/>
  <c r="C78" i="4"/>
  <c r="C73" i="4"/>
  <c r="C67" i="4"/>
  <c r="C62" i="4"/>
  <c r="C57" i="4"/>
  <c r="C51" i="4"/>
  <c r="C46" i="4"/>
  <c r="C41" i="4"/>
  <c r="C35" i="4"/>
  <c r="C30" i="4"/>
  <c r="C25" i="4"/>
  <c r="C19" i="4"/>
  <c r="C14" i="4"/>
  <c r="C9" i="4"/>
  <c r="D147" i="4"/>
  <c r="D142" i="4"/>
  <c r="D136" i="4"/>
  <c r="D131" i="4"/>
  <c r="D126" i="4"/>
  <c r="D120" i="4"/>
  <c r="D115" i="4"/>
  <c r="D110" i="4"/>
  <c r="D104" i="4"/>
  <c r="D99" i="4"/>
  <c r="D94" i="4"/>
  <c r="D87" i="4"/>
  <c r="D79" i="4"/>
  <c r="D72" i="4"/>
  <c r="D66" i="4"/>
  <c r="D58" i="4"/>
  <c r="D51" i="4"/>
  <c r="D44" i="4"/>
  <c r="D36" i="4"/>
  <c r="D30" i="4"/>
  <c r="D23" i="4"/>
  <c r="D15" i="4"/>
  <c r="D8" i="4"/>
  <c r="E2" i="4"/>
  <c r="E143" i="4"/>
  <c r="E136" i="4"/>
  <c r="E129" i="4"/>
  <c r="E121" i="4"/>
  <c r="E115" i="4"/>
  <c r="E108" i="4"/>
  <c r="E100" i="4"/>
  <c r="E93" i="4"/>
  <c r="E87" i="4"/>
  <c r="E79" i="4"/>
  <c r="E72" i="4"/>
  <c r="E65" i="4"/>
  <c r="E57" i="4"/>
  <c r="E51" i="4"/>
  <c r="E44" i="4"/>
  <c r="E34" i="4"/>
  <c r="E24" i="4"/>
  <c r="E16" i="4"/>
  <c r="E6" i="4"/>
  <c r="F144" i="4"/>
  <c r="F129" i="4"/>
  <c r="F115" i="4"/>
  <c r="F101" i="4"/>
  <c r="F87" i="4"/>
  <c r="F72" i="4"/>
  <c r="F59" i="4"/>
  <c r="F44" i="4"/>
  <c r="F29" i="4"/>
  <c r="F16" i="4"/>
  <c r="G150" i="4"/>
  <c r="G136" i="4"/>
  <c r="G122" i="4"/>
  <c r="G108" i="4"/>
  <c r="G93" i="4"/>
  <c r="G80" i="4"/>
  <c r="G65" i="4"/>
  <c r="G50" i="4"/>
  <c r="G37" i="4"/>
  <c r="G22" i="4"/>
  <c r="G8" i="4"/>
  <c r="A1" i="4"/>
</calcChain>
</file>

<file path=xl/sharedStrings.xml><?xml version="1.0" encoding="utf-8"?>
<sst xmlns="http://schemas.openxmlformats.org/spreadsheetml/2006/main" count="2446" uniqueCount="1014">
  <si>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</si>
  <si>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</si>
  <si>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</si>
  <si>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</si>
  <si>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</si>
  <si>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</si>
  <si>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</si>
  <si>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</si>
  <si>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</si>
  <si>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</si>
  <si>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</si>
  <si>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</si>
  <si>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</si>
  <si>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</si>
  <si>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</si>
  <si>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</si>
  <si>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</si>
  <si>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</si>
  <si>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</si>
  <si>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</si>
  <si>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</si>
  <si>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</si>
  <si>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</si>
  <si>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</si>
  <si>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</si>
  <si>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</si>
  <si>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</si>
  <si>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</si>
  <si>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</si>
  <si>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</si>
  <si>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</si>
  <si>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</si>
  <si>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</si>
  <si>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</si>
  <si>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</si>
  <si>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</si>
  <si>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</si>
  <si>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</si>
  <si>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</si>
  <si>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</si>
  <si>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</si>
  <si>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</si>
  <si>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</si>
  <si>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</si>
  <si>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</si>
  <si>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</si>
  <si>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</si>
  <si>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</si>
  <si>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</si>
  <si>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</si>
  <si>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</si>
  <si>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</si>
  <si>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</si>
  <si>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</si>
  <si>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</si>
  <si>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</si>
  <si>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</si>
  <si>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</si>
  <si>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</si>
  <si>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</si>
  <si>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</si>
  <si>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</si>
  <si>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</si>
  <si>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</si>
  <si>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</si>
  <si>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</si>
  <si>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</si>
  <si>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</si>
  <si>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</si>
  <si>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</si>
  <si>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</si>
  <si>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</si>
  <si>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</si>
  <si>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</si>
  <si>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</si>
  <si>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</si>
  <si>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</si>
  <si>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</si>
  <si>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</si>
  <si>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</si>
  <si>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</si>
  <si>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</si>
  <si>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</si>
  <si>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</si>
  <si>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</si>
  <si>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</si>
  <si>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</si>
  <si>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</si>
  <si>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</si>
  <si>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</si>
  <si>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</si>
  <si>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</si>
  <si>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</si>
  <si>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</si>
  <si>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</si>
  <si>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</si>
  <si>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</si>
  <si>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</si>
  <si>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</si>
  <si>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</si>
  <si>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</si>
  <si>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</si>
  <si>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</si>
  <si>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</si>
  <si>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</si>
  <si>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</si>
  <si>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</si>
  <si>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</si>
  <si>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</si>
  <si>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</si>
  <si>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</si>
  <si>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</si>
  <si>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</si>
  <si>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</si>
  <si>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</si>
  <si>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</si>
  <si>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</si>
  <si>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</si>
  <si>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</si>
  <si>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</si>
  <si>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</si>
  <si>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</si>
  <si>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</si>
  <si>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</si>
  <si>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</si>
  <si>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</si>
  <si>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</si>
  <si>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</si>
  <si>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</si>
  <si>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</si>
  <si>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</si>
  <si>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</si>
  <si>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</si>
  <si>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</si>
  <si>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</si>
  <si>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</si>
  <si>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</si>
  <si>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</si>
  <si>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</si>
  <si>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</si>
  <si>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</si>
  <si>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</si>
  <si>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</si>
  <si>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</si>
  <si>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</si>
  <si>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</si>
  <si>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</si>
  <si>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</si>
  <si>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</si>
  <si>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</si>
  <si>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</si>
  <si>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</si>
  <si>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</si>
  <si>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</si>
  <si>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</si>
  <si>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</si>
  <si>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</si>
  <si>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</si>
  <si>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</si>
  <si>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</si>
  <si>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</si>
  <si>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</si>
  <si>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</si>
  <si>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</si>
  <si>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</si>
  <si>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</si>
  <si>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</si>
  <si>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</si>
  <si>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</si>
  <si>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</si>
  <si>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</si>
  <si>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</si>
  <si>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</si>
  <si>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</si>
  <si>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</si>
  <si>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</si>
  <si>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</si>
  <si>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</si>
  <si>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</si>
  <si>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</si>
  <si>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</si>
  <si>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</si>
  <si>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</si>
  <si>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</si>
  <si>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</si>
  <si>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</si>
  <si>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</si>
  <si>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</si>
  <si>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</si>
  <si>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</si>
  <si>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</si>
  <si>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</si>
  <si>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</si>
  <si>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</si>
  <si>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</si>
  <si>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</si>
  <si>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</si>
  <si>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</si>
  <si>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</si>
  <si>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</si>
  <si>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</si>
  <si>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</si>
  <si>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</si>
  <si>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</si>
  <si>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</si>
  <si>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</si>
  <si>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</si>
  <si>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</si>
  <si>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</si>
  <si>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</si>
  <si>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</si>
  <si>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</si>
  <si>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</si>
  <si>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</si>
  <si>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</si>
  <si>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</si>
  <si>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</si>
  <si>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</si>
  <si>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</si>
  <si>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</si>
  <si>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</si>
  <si>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</si>
  <si>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</si>
  <si>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</si>
  <si>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</si>
  <si>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</si>
  <si>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</si>
  <si>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</si>
  <si>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</si>
  <si>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</si>
  <si>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</si>
  <si>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</si>
  <si>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</si>
  <si>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</si>
  <si>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</si>
  <si>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</si>
  <si>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</si>
  <si>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</si>
  <si>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</si>
  <si>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</si>
  <si>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</si>
  <si>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</si>
  <si>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</si>
  <si>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</si>
  <si>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</si>
  <si>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</si>
  <si>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</si>
  <si>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</si>
  <si>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</si>
  <si>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</si>
  <si>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</si>
  <si>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</si>
  <si>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</si>
  <si>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</si>
  <si>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</si>
  <si>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</si>
  <si>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</si>
  <si>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</si>
  <si>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</si>
  <si>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</si>
  <si>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</si>
  <si>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</si>
  <si>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</si>
  <si>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</si>
  <si>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</si>
  <si>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</si>
  <si>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</si>
  <si>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</si>
  <si>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</si>
  <si>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</si>
  <si>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</si>
  <si>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</si>
  <si>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</si>
  <si>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</si>
  <si>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</si>
  <si>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</si>
  <si>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</si>
  <si>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</si>
  <si>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</si>
  <si>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</si>
  <si>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</si>
  <si>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</si>
  <si>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</si>
  <si>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</si>
  <si>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</si>
  <si>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</si>
  <si>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</si>
  <si>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</si>
  <si>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</si>
  <si>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</si>
  <si>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</si>
  <si>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</si>
  <si>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</si>
  <si>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</si>
  <si>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</si>
  <si>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</si>
  <si>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</si>
  <si>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</si>
  <si>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</si>
  <si>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</si>
  <si>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</si>
  <si>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</si>
  <si>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</si>
  <si>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</si>
  <si>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</si>
  <si>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</si>
  <si>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</si>
  <si>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</si>
  <si>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</si>
  <si>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</si>
  <si>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</si>
  <si>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</si>
  <si>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</si>
  <si>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</si>
  <si>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</si>
  <si>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</si>
  <si>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</si>
  <si>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</si>
  <si>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</si>
  <si>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</si>
  <si>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</si>
  <si>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</si>
  <si>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</si>
  <si>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</si>
  <si>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</si>
  <si>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</si>
  <si>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</si>
  <si>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</si>
  <si>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</si>
  <si>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</si>
  <si>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</si>
  <si>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</si>
  <si>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</si>
  <si>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</si>
  <si>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</si>
  <si>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</si>
  <si>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</si>
  <si>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</si>
  <si>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</si>
  <si>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</si>
  <si>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</si>
  <si>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</si>
  <si>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</si>
  <si>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</si>
  <si>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</si>
  <si>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</si>
  <si>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</si>
  <si>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</si>
  <si>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</si>
  <si>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</si>
  <si>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</si>
  <si>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</si>
  <si>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</si>
  <si>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</si>
  <si>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</si>
  <si>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</si>
  <si>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</si>
  <si>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</si>
  <si>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</si>
  <si>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</si>
  <si>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</si>
  <si>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</si>
  <si>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</si>
  <si>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</si>
  <si>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</si>
  <si>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</si>
  <si>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</si>
  <si>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</si>
  <si>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</si>
  <si>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</si>
  <si>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</si>
  <si>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</si>
  <si>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</si>
  <si>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</si>
  <si>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</si>
  <si>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</si>
  <si>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</si>
  <si>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</si>
  <si>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</si>
  <si>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</si>
  <si>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</si>
  <si>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</si>
  <si>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</si>
  <si>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</si>
  <si>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</si>
  <si>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</si>
  <si>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</si>
  <si>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</si>
  <si>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</si>
  <si>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</si>
  <si>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</si>
  <si>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</si>
  <si>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</si>
  <si>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</si>
  <si>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</si>
  <si>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</si>
  <si>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</si>
  <si>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</si>
  <si>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</si>
  <si>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</si>
  <si>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</si>
  <si>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</si>
  <si>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</si>
  <si>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</si>
  <si>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</si>
  <si>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</si>
  <si>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</si>
  <si>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</si>
  <si>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</si>
  <si>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</si>
  <si>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</si>
  <si>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</si>
  <si>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</si>
  <si>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</si>
  <si>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</si>
  <si>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</si>
  <si>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</si>
  <si>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</si>
  <si>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</si>
  <si>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</si>
  <si>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</si>
  <si>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</si>
  <si>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</si>
  <si>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</si>
  <si>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</si>
  <si>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</si>
  <si>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</si>
  <si>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</si>
  <si>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</si>
  <si>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</si>
  <si>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</si>
  <si>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</si>
  <si>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</si>
  <si>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</si>
  <si>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</si>
  <si>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</si>
  <si>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</si>
  <si>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</si>
  <si>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</si>
  <si>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</si>
  <si>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</si>
  <si>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</si>
  <si>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</si>
  <si>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</si>
  <si>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</si>
  <si>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</si>
  <si>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</si>
  <si>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</si>
  <si>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</si>
  <si>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</si>
  <si>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</si>
  <si>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</si>
  <si>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</si>
  <si>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</si>
  <si>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</si>
  <si>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</si>
  <si>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</si>
  <si>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</si>
  <si>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</si>
  <si>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</si>
  <si>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</si>
  <si>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</si>
  <si>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</si>
  <si>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</si>
  <si>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</si>
  <si>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</si>
  <si>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</si>
  <si>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</si>
  <si>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</si>
  <si>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</si>
  <si>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</si>
  <si>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</si>
  <si>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</si>
  <si>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</si>
  <si>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</si>
  <si>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</si>
  <si>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</si>
  <si>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</si>
  <si>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</si>
  <si>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</si>
  <si>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</si>
  <si>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</si>
  <si>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</si>
  <si>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</si>
  <si>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</si>
  <si>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</si>
  <si>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</si>
  <si>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</si>
  <si>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</si>
  <si>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</si>
  <si>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</si>
  <si>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</si>
  <si>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</si>
  <si>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</si>
  <si>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</si>
  <si>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</si>
  <si>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</si>
  <si>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</si>
  <si>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</si>
  <si>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</si>
  <si>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</si>
  <si>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</si>
  <si>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</si>
  <si>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</si>
  <si>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</si>
  <si>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</si>
  <si>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</si>
  <si>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</si>
  <si>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</si>
  <si>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</si>
  <si>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</si>
  <si>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</si>
  <si>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</si>
  <si>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</si>
  <si>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</si>
  <si>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</si>
  <si>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</si>
  <si>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</si>
  <si>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</si>
  <si>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</si>
  <si>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</si>
  <si>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</si>
  <si>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</si>
  <si>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</si>
  <si>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</si>
  <si>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</si>
  <si>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</si>
  <si>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</si>
  <si>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</si>
  <si>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</si>
  <si>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</si>
  <si>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</si>
  <si>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</si>
  <si>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</si>
  <si>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</si>
  <si>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</si>
  <si>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</si>
  <si>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</si>
  <si>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</si>
  <si>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</si>
  <si>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</si>
  <si>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</si>
  <si>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</si>
  <si>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</si>
  <si>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</si>
  <si>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</si>
  <si>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</si>
  <si>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</si>
  <si>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</si>
  <si>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</si>
  <si>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</si>
  <si>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</si>
  <si>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</si>
  <si>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</si>
  <si>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</si>
  <si>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</si>
  <si>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</si>
  <si>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</si>
  <si>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</si>
  <si>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</si>
  <si>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</si>
  <si>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</si>
  <si>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</si>
  <si>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</si>
  <si>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</si>
  <si>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</si>
  <si>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</si>
  <si>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</si>
  <si>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</si>
  <si>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</si>
  <si>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</si>
  <si>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</si>
  <si>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</si>
  <si>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</si>
  <si>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</si>
  <si>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</si>
  <si>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</si>
  <si>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</si>
  <si>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</si>
  <si>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</si>
  <si>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</si>
  <si>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</si>
  <si>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</si>
  <si>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</si>
  <si>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</si>
  <si>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</si>
  <si>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</si>
  <si>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</si>
  <si>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</si>
  <si>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</si>
  <si>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</si>
  <si>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</si>
  <si>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</si>
  <si>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</si>
  <si>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</si>
  <si>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</si>
  <si>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</si>
  <si>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</si>
  <si>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</si>
  <si>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</si>
  <si>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</si>
  <si>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</si>
  <si>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</si>
  <si>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</si>
  <si>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</si>
  <si>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</si>
  <si>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</si>
  <si>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</si>
  <si>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</si>
  <si>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</si>
  <si>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</si>
  <si>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</si>
  <si>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</si>
  <si>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</si>
  <si>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</si>
  <si>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</si>
  <si>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</si>
  <si>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</si>
  <si>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</si>
  <si>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</si>
  <si>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</si>
  <si>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</si>
  <si>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</si>
  <si>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</si>
  <si>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</si>
  <si>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</si>
  <si>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</si>
  <si>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</si>
  <si>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</si>
  <si>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</si>
  <si>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</si>
  <si>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</si>
  <si>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</si>
  <si>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</si>
  <si>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</si>
  <si>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</si>
  <si>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</si>
  <si>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</si>
  <si>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</si>
  <si>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</si>
  <si>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</si>
  <si>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</si>
  <si>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</si>
  <si>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</si>
  <si>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</si>
  <si>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</si>
  <si>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</si>
  <si>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</si>
  <si>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</si>
  <si>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</si>
  <si>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</si>
  <si>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</si>
  <si>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</si>
  <si>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</si>
  <si>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</si>
  <si>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</si>
  <si>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</si>
  <si>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</si>
  <si>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</si>
  <si>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</si>
  <si>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</si>
  <si>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</si>
  <si>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</si>
  <si>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</si>
  <si>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</si>
  <si>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</si>
  <si>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</si>
  <si>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</si>
  <si>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</si>
  <si>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</si>
  <si>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</si>
  <si>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</si>
  <si>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</si>
  <si>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</si>
  <si>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</si>
  <si>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</si>
  <si>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</si>
  <si>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</si>
  <si>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</si>
  <si>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</si>
  <si>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</si>
  <si>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</si>
  <si>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</si>
  <si>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</si>
  <si>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</si>
  <si>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</si>
  <si>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</si>
  <si>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</si>
  <si>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</si>
  <si>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</si>
  <si>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</si>
  <si>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</si>
  <si>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</si>
  <si>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</si>
  <si>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</si>
  <si>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</si>
  <si>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</si>
  <si>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</si>
  <si>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</si>
  <si>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</si>
  <si>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</si>
  <si>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</si>
  <si>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</si>
  <si>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</si>
  <si>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</si>
  <si>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</si>
  <si>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</si>
  <si>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</si>
  <si>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</si>
  <si>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</si>
  <si>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</si>
  <si>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</si>
  <si>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</si>
  <si>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</si>
  <si>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</si>
  <si>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</si>
  <si>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</si>
  <si>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</si>
  <si>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</si>
  <si>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</si>
  <si>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</si>
  <si>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</si>
  <si>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</si>
  <si>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</si>
  <si>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</si>
  <si>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</si>
  <si>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</si>
  <si>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</si>
  <si>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</si>
  <si>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</si>
  <si>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</si>
  <si>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</si>
  <si>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</si>
  <si>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</si>
  <si>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</si>
  <si>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</si>
  <si>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</si>
  <si>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</si>
  <si>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</si>
  <si>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</si>
  <si>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</si>
  <si>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</si>
  <si>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</si>
  <si>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</si>
  <si>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</si>
  <si>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</si>
  <si>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</si>
  <si>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</si>
  <si>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</si>
  <si>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</si>
  <si>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</si>
  <si>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</si>
  <si>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</si>
  <si>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</si>
  <si>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</si>
  <si>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</si>
  <si>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</si>
  <si>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</si>
  <si>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</si>
  <si>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</si>
  <si>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</si>
  <si>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</si>
  <si>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</si>
  <si>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</si>
  <si>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</si>
  <si>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</si>
  <si>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</si>
  <si>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</si>
  <si>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</si>
  <si>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</si>
  <si>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</si>
  <si>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</si>
  <si>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</si>
  <si>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</si>
  <si>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</si>
  <si>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</si>
  <si>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</si>
  <si>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</si>
  <si>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</si>
  <si>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</si>
  <si>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</si>
  <si>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</si>
  <si>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</si>
  <si>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</si>
  <si>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</si>
  <si>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</si>
  <si>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</si>
  <si>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</si>
  <si>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</si>
  <si>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</si>
  <si>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</si>
  <si>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</si>
  <si>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</si>
  <si>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</si>
  <si>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</si>
  <si>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</si>
  <si>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</si>
  <si>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</si>
  <si>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</si>
  <si>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</si>
  <si>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</si>
  <si>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</si>
  <si>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</si>
  <si>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</si>
  <si>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</si>
  <si>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</si>
  <si>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</si>
  <si>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</si>
  <si>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</si>
  <si>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</si>
  <si>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</si>
  <si>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</si>
  <si>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</si>
  <si>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</si>
  <si>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</si>
  <si>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</si>
  <si>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</si>
  <si>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</si>
  <si>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</si>
  <si>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</si>
  <si>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</si>
  <si>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</si>
  <si>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</si>
  <si>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</si>
  <si>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</si>
  <si>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</si>
  <si>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</si>
  <si>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</si>
  <si>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</si>
  <si>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</si>
  <si>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</si>
  <si>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</si>
  <si>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</si>
  <si>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</si>
  <si>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</si>
  <si>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</si>
  <si>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</si>
  <si>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</si>
  <si>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</si>
  <si>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</si>
  <si>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</si>
  <si>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</si>
  <si>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</si>
  <si>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</si>
  <si>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</si>
  <si>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</si>
  <si>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</si>
  <si>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</si>
  <si>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</si>
  <si>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</si>
  <si>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</si>
  <si>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</si>
  <si>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</si>
  <si>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</si>
  <si>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</si>
  <si>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</si>
  <si>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</si>
  <si>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</si>
  <si>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</si>
  <si>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</si>
  <si>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</si>
  <si>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</si>
  <si>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</si>
  <si>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</si>
  <si>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</si>
  <si>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</si>
  <si>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</si>
  <si>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</si>
  <si>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</si>
  <si>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</si>
  <si>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</si>
  <si>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</si>
  <si>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</si>
  <si>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</si>
  <si>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</si>
  <si>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</si>
  <si>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</si>
  <si>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</si>
  <si>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</si>
  <si>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</si>
  <si>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</si>
  <si>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</si>
  <si>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</si>
  <si>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</si>
  <si>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</si>
  <si>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</si>
  <si>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</si>
  <si>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</si>
  <si>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</si>
  <si>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</si>
  <si>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</si>
  <si>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</si>
  <si>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</si>
  <si>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</si>
  <si>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</si>
  <si>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</si>
  <si>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</si>
  <si>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</si>
  <si>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</si>
  <si>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</si>
  <si>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</si>
  <si>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</si>
  <si>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</si>
  <si>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</si>
  <si>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</si>
  <si>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</si>
  <si>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</si>
  <si>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</si>
  <si>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</si>
  <si>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</si>
  <si>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</si>
  <si>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</si>
  <si>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</si>
  <si>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</si>
  <si>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</si>
  <si>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</si>
  <si>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</si>
  <si>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</si>
  <si>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</si>
  <si>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</si>
  <si>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</si>
  <si>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</si>
  <si>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</si>
  <si>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</si>
  <si>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</si>
  <si>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</si>
  <si>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</si>
  <si>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</si>
  <si>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</si>
  <si>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</si>
  <si>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</si>
  <si>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</si>
  <si>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</si>
  <si>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</si>
  <si>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</si>
  <si>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</si>
  <si>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</si>
  <si>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</si>
  <si>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</si>
  <si>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</si>
  <si>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</si>
  <si>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</si>
  <si>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</si>
  <si>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</si>
  <si>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</si>
  <si>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</si>
  <si>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</si>
  <si>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</si>
  <si>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</si>
  <si>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</si>
  <si>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</si>
  <si>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</si>
  <si>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</si>
  <si>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</si>
  <si>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</si>
  <si>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</si>
  <si>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</si>
  <si>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</si>
  <si>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</si>
  <si>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</si>
  <si>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</si>
  <si>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</si>
  <si>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</si>
  <si>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</si>
  <si>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</si>
  <si>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</si>
  <si>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</si>
  <si>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</si>
  <si>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</si>
  <si>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</si>
  <si>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</si>
  <si>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</si>
  <si>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</si>
  <si>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</si>
  <si>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</si>
  <si>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</si>
  <si>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</si>
  <si>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</si>
  <si>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</si>
  <si>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</si>
  <si>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</si>
  <si>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</si>
  <si>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</si>
  <si>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</si>
  <si>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</si>
  <si>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</si>
  <si>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</si>
  <si>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</si>
  <si>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</si>
  <si>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</si>
  <si>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</si>
  <si>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</si>
  <si>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</si>
  <si>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</si>
  <si>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</si>
  <si>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</si>
  <si>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</si>
  <si>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</si>
  <si>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</si>
  <si>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</si>
  <si>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</si>
  <si>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</si>
  <si>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</si>
  <si>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Ashok Kumar</t>
  </si>
  <si>
    <t>Manoj Kumar</t>
  </si>
  <si>
    <t>Rajesh Kumar</t>
  </si>
  <si>
    <t>Santosh Kumar</t>
  </si>
  <si>
    <t>Sunil Kumar</t>
  </si>
  <si>
    <t>Zeilenbeschriftungen</t>
  </si>
  <si>
    <t>Employee Total Number of woking hours</t>
  </si>
  <si>
    <t>Report1 : Working Hours</t>
  </si>
  <si>
    <t>Anjali Deoram</t>
  </si>
  <si>
    <t>Sheena Joseph</t>
  </si>
  <si>
    <t>Summe von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</si>
</sst>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1"/>
      <color rgb="FFEAEAEA"/>
      <name val="Calibri"/>
      <family val="2"/>
      <scheme val="minor"/>
    </font>
    <font>
      <sz val="11"/>
      <color rgb="FFF8F8F8"/>
      <name val="Calibri"/>
      <family val="2"/>
      <scheme val="minor"/>
    </font>
    <font>
      <sz val="11"/>
      <color rgb="FFEAEAEA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6373BA"/>
        <bgColor indexed="64"/>
      </patternFill>
    </fill>
    <fill>
      <patternFill patternType="solid">
        <fgColor rgb="FFF8F8F8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top" wrapText="1"/>
    </xf>
    <xf numFmtId="0" fontId="5" fillId="0" borderId="0" xfId="0" applyFont="1"/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6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4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8" fillId="6" borderId="0" xfId="0" applyFont="1" applyFill="1"/>
    <xf numFmtId="0" fontId="0" fillId="4" borderId="0" xfId="0" applyFill="1" applyAlignment="1">
      <alignment horizontal="center"/>
    </xf>
    <xf numFmtId="0" fontId="7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9" fontId="0" fillId="0" borderId="0" xfId="0" applyNumberFormat="1"/>
    <xf numFmtId="0" fontId="9" fillId="0" borderId="0" xfId="0" applyFo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EAEAEA"/>
      <color rgb="FFF8F8F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sheet with pivot table using code.xlsm]Dashboard!PivotTable1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Dashboard!$A$5:$A$11</c:f>
              <c:strCache>
                <c:ptCount val="7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Sheena Joseph</c:v>
                </c:pt>
                <c:pt idx="6">
                  <c:v>Sunil Kumar</c:v>
                </c:pt>
              </c:strCache>
            </c:strRef>
          </c:cat>
          <c:val>
            <c:numRef>
              <c:f>Dashboard!$B$5:$B$11</c:f>
              <c:numCache>
                <c:formatCode>[$-F400]h:mm:ss\ AM/PM</c:formatCode>
                <c:ptCount val="7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0.36775462962962963</c:v>
                </c:pt>
                <c:pt idx="6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D-4BD3-9A2F-940E9B230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5108479"/>
        <c:axId val="415119999"/>
      </c:barChart>
      <c:catAx>
        <c:axId val="415108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119999"/>
        <c:crosses val="autoZero"/>
        <c:auto val="1"/>
        <c:lblAlgn val="ctr"/>
        <c:lblOffset val="100"/>
        <c:noMultiLvlLbl val="0"/>
      </c:catAx>
      <c:valAx>
        <c:axId val="415119999"/>
        <c:scaling>
          <c:orientation val="minMax"/>
        </c:scaling>
        <c:delete val="1"/>
        <c:axPos val="l"/>
        <c:numFmt formatCode="[$-F400]h:mm:ss\ AM/PM" sourceLinked="1"/>
        <c:majorTickMark val="out"/>
        <c:minorTickMark val="none"/>
        <c:tickLblPos val="nextTo"/>
        <c:crossAx val="415108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sheet with pivot table using code.xlsm]Dashboard!PivotTable2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Dashboard!$G$4</c:f>
              <c:strCache>
                <c:ptCount val="1"/>
                <c:pt idx="0">
                  <c:v>Ergebnis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Dashboard!$F$5:$F$8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</c:strCache>
            </c:strRef>
          </c:cat>
          <c:val>
            <c:numRef>
              <c:f>Dashboard!$G$5:$G$8</c:f>
              <c:numCache>
                <c:formatCode>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C7-48B7-A440-60CC3D112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C$1" max="30000" min="1" page="10" val="7"/>
</file>

<file path=xl/ctrlProps/ctrlProp2.xml><?xml version="1.0" encoding="utf-8"?>
<formControlPr xmlns="http://schemas.microsoft.com/office/spreadsheetml/2009/9/main" objectType="Spin" dx="22" fmlaLink="$C$1" max="30000" min="1" page="10" val="7"/>
</file>

<file path=xl/ctrlProps/ctrlProp3.xml><?xml version="1.0" encoding="utf-8"?>
<formControlPr xmlns="http://schemas.microsoft.com/office/spreadsheetml/2009/9/main" objectType="Spin" dx="22" fmlaLink="$C$2" max="30000" min="1" page="10" val="4"/>
</file>

<file path=xl/ctrlProps/ctrlProp4.xml><?xml version="1.0" encoding="utf-8"?>
<formControlPr xmlns="http://schemas.microsoft.com/office/spreadsheetml/2009/9/main" objectType="Spin" dx="22" fmlaLink="$C$2" max="30000" min="1" page="10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0</xdr:row>
      <xdr:rowOff>19050</xdr:rowOff>
    </xdr:from>
    <xdr:to>
      <xdr:col>1</xdr:col>
      <xdr:colOff>942975</xdr:colOff>
      <xdr:row>1</xdr:row>
      <xdr:rowOff>152400</xdr:rowOff>
    </xdr:to>
    <xdr:sp macro="[0]!Module1.Spinner1_Code" textlink="$C$1">
      <xdr:nvSpPr>
        <xdr:cNvPr id="9" name="Rechteck 8">
          <a:extLst>
            <a:ext uri="{FF2B5EF4-FFF2-40B4-BE49-F238E27FC236}">
              <a16:creationId xmlns:a16="http://schemas.microsoft.com/office/drawing/2014/main" id="{D05FAC67-074B-138B-CCED-2C98ABA38EBF}"/>
            </a:ext>
          </a:extLst>
        </xdr:cNvPr>
        <xdr:cNvSpPr/>
      </xdr:nvSpPr>
      <xdr:spPr>
        <a:xfrm>
          <a:off x="1866900" y="19050"/>
          <a:ext cx="571500" cy="323850"/>
        </a:xfrm>
        <a:prstGeom prst="rect">
          <a:avLst/>
        </a:prstGeom>
        <a:solidFill>
          <a:srgbClr val="EAEAE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fld id="{8762EC27-7262-458C-A116-D1545AECBD4E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</a:t>
          </a:fld>
          <a:endParaRPr lang="en-IN" sz="1400" b="1"/>
        </a:p>
      </xdr:txBody>
    </xdr:sp>
    <xdr:clientData/>
  </xdr:twoCellAnchor>
  <xdr:twoCellAnchor>
    <xdr:from>
      <xdr:col>0</xdr:col>
      <xdr:colOff>0</xdr:colOff>
      <xdr:row>10</xdr:row>
      <xdr:rowOff>80962</xdr:rowOff>
    </xdr:from>
    <xdr:to>
      <xdr:col>2</xdr:col>
      <xdr:colOff>9525</xdr:colOff>
      <xdr:row>22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F18A679-6080-709B-38BE-E7A12269CF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1152525</xdr:colOff>
      <xdr:row>1</xdr:row>
      <xdr:rowOff>180975</xdr:rowOff>
    </xdr:to>
    <xdr:sp macro="" textlink="">
      <xdr:nvSpPr>
        <xdr:cNvPr id="3" name="Pfeil: nach rechts 2">
          <a:extLst>
            <a:ext uri="{FF2B5EF4-FFF2-40B4-BE49-F238E27FC236}">
              <a16:creationId xmlns:a16="http://schemas.microsoft.com/office/drawing/2014/main" id="{1B747313-3F03-C214-83E2-6F32D3924B88}"/>
            </a:ext>
          </a:extLst>
        </xdr:cNvPr>
        <xdr:cNvSpPr/>
      </xdr:nvSpPr>
      <xdr:spPr>
        <a:xfrm>
          <a:off x="0" y="0"/>
          <a:ext cx="1152525" cy="371475"/>
        </a:xfrm>
        <a:prstGeom prst="rightArrow">
          <a:avLst>
            <a:gd name="adj1" fmla="val 100000"/>
            <a:gd name="adj2" fmla="val 39743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9525</xdr:colOff>
      <xdr:row>0</xdr:row>
      <xdr:rowOff>0</xdr:rowOff>
    </xdr:from>
    <xdr:to>
      <xdr:col>0</xdr:col>
      <xdr:colOff>1000125</xdr:colOff>
      <xdr:row>1</xdr:row>
      <xdr:rowOff>171450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92106DF-D88F-6819-B61E-B5009CFA23B5}"/>
            </a:ext>
          </a:extLst>
        </xdr:cNvPr>
        <xdr:cNvSpPr txBox="1"/>
      </xdr:nvSpPr>
      <xdr:spPr>
        <a:xfrm>
          <a:off x="9525" y="0"/>
          <a:ext cx="990600" cy="36195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>
              <a:solidFill>
                <a:srgbClr val="F8F8F8"/>
              </a:solidFill>
            </a:rPr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28575</xdr:rowOff>
        </xdr:from>
        <xdr:to>
          <xdr:col>1</xdr:col>
          <xdr:colOff>693418</xdr:colOff>
          <xdr:row>1</xdr:row>
          <xdr:rowOff>142875</xdr:rowOff>
        </xdr:to>
        <xdr:sp macro="" textlink="">
          <xdr:nvSpPr>
            <xdr:cNvPr id="10241" name="Spinner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1247774</xdr:colOff>
      <xdr:row>0</xdr:row>
      <xdr:rowOff>0</xdr:rowOff>
    </xdr:from>
    <xdr:to>
      <xdr:col>1</xdr:col>
      <xdr:colOff>2495549</xdr:colOff>
      <xdr:row>1</xdr:row>
      <xdr:rowOff>180975</xdr:rowOff>
    </xdr:to>
    <xdr:sp macro="" textlink="">
      <xdr:nvSpPr>
        <xdr:cNvPr id="12" name="Pfeil: nach rechts 11">
          <a:extLst>
            <a:ext uri="{FF2B5EF4-FFF2-40B4-BE49-F238E27FC236}">
              <a16:creationId xmlns:a16="http://schemas.microsoft.com/office/drawing/2014/main" id="{0F6D4E70-BA28-4158-8CDA-5FEE71DB4DC3}"/>
            </a:ext>
          </a:extLst>
        </xdr:cNvPr>
        <xdr:cNvSpPr/>
      </xdr:nvSpPr>
      <xdr:spPr>
        <a:xfrm flipH="1">
          <a:off x="2743199" y="0"/>
          <a:ext cx="1247775" cy="371475"/>
        </a:xfrm>
        <a:prstGeom prst="rightArrow">
          <a:avLst>
            <a:gd name="adj1" fmla="val 53846"/>
            <a:gd name="adj2" fmla="val 39743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1400175</xdr:colOff>
      <xdr:row>0</xdr:row>
      <xdr:rowOff>9526</xdr:rowOff>
    </xdr:from>
    <xdr:to>
      <xdr:col>2</xdr:col>
      <xdr:colOff>9525</xdr:colOff>
      <xdr:row>1</xdr:row>
      <xdr:rowOff>180976</xdr:rowOff>
    </xdr:to>
    <xdr:sp macro="" textlink="">
      <xdr:nvSpPr>
        <xdr:cNvPr id="15" name="Textfeld 14">
          <a:extLst>
            <a:ext uri="{FF2B5EF4-FFF2-40B4-BE49-F238E27FC236}">
              <a16:creationId xmlns:a16="http://schemas.microsoft.com/office/drawing/2014/main" id="{CF8147B4-5276-D728-BD72-490DD8A15988}"/>
            </a:ext>
          </a:extLst>
        </xdr:cNvPr>
        <xdr:cNvSpPr txBox="1"/>
      </xdr:nvSpPr>
      <xdr:spPr>
        <a:xfrm>
          <a:off x="2895600" y="9526"/>
          <a:ext cx="1123950" cy="361950"/>
        </a:xfrm>
        <a:prstGeom prst="rect">
          <a:avLst/>
        </a:prstGeom>
        <a:solidFill>
          <a:srgbClr val="00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>
              <a:solidFill>
                <a:srgbClr val="F8F8F8"/>
              </a:solidFill>
            </a:rPr>
            <a:t>RECORDS</a:t>
          </a:r>
        </a:p>
      </xdr:txBody>
    </xdr:sp>
    <xdr:clientData/>
  </xdr:twoCellAnchor>
  <xdr:twoCellAnchor editAs="oneCell">
    <xdr:from>
      <xdr:col>0</xdr:col>
      <xdr:colOff>1190625</xdr:colOff>
      <xdr:row>0</xdr:row>
      <xdr:rowOff>0</xdr:rowOff>
    </xdr:from>
    <xdr:to>
      <xdr:col>1</xdr:col>
      <xdr:colOff>190500</xdr:colOff>
      <xdr:row>1</xdr:row>
      <xdr:rowOff>180975</xdr:rowOff>
    </xdr:to>
    <xdr:pic macro="[0]!Hide_Chart1">
      <xdr:nvPicPr>
        <xdr:cNvPr id="7" name="Grafik 6">
          <a:extLst>
            <a:ext uri="{FF2B5EF4-FFF2-40B4-BE49-F238E27FC236}">
              <a16:creationId xmlns:a16="http://schemas.microsoft.com/office/drawing/2014/main" id="{83D72979-6D49-38C8-6972-64E70845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0625" y="0"/>
          <a:ext cx="495300" cy="371475"/>
        </a:xfrm>
        <a:prstGeom prst="rect">
          <a:avLst/>
        </a:prstGeom>
      </xdr:spPr>
    </xdr:pic>
    <xdr:clientData/>
  </xdr:twoCellAnchor>
  <xdr:twoCellAnchor editAs="oneCell">
    <xdr:from>
      <xdr:col>0</xdr:col>
      <xdr:colOff>1200150</xdr:colOff>
      <xdr:row>0</xdr:row>
      <xdr:rowOff>9525</xdr:rowOff>
    </xdr:from>
    <xdr:to>
      <xdr:col>1</xdr:col>
      <xdr:colOff>200025</xdr:colOff>
      <xdr:row>1</xdr:row>
      <xdr:rowOff>152400</xdr:rowOff>
    </xdr:to>
    <xdr:pic macro="[0]!Show_Chart1">
      <xdr:nvPicPr>
        <xdr:cNvPr id="10" name="Grafik 9">
          <a:extLst>
            <a:ext uri="{FF2B5EF4-FFF2-40B4-BE49-F238E27FC236}">
              <a16:creationId xmlns:a16="http://schemas.microsoft.com/office/drawing/2014/main" id="{6FEFEFBE-B73C-13E7-A070-B09801499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0150" y="9525"/>
          <a:ext cx="495300" cy="333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1847850</xdr:colOff>
          <xdr:row>10</xdr:row>
          <xdr:rowOff>171450</xdr:rowOff>
        </xdr:from>
        <xdr:to>
          <xdr:col>1</xdr:col>
          <xdr:colOff>2169793</xdr:colOff>
          <xdr:row>12</xdr:row>
          <xdr:rowOff>95250</xdr:rowOff>
        </xdr:to>
        <xdr:sp macro="" textlink="">
          <xdr:nvSpPr>
            <xdr:cNvPr id="10243" name="Spinner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371475</xdr:colOff>
      <xdr:row>0</xdr:row>
      <xdr:rowOff>19050</xdr:rowOff>
    </xdr:from>
    <xdr:to>
      <xdr:col>6</xdr:col>
      <xdr:colOff>942975</xdr:colOff>
      <xdr:row>1</xdr:row>
      <xdr:rowOff>152400</xdr:rowOff>
    </xdr:to>
    <xdr:sp macro="[0]!Module1.Spinner1_Code" textlink="$C$2">
      <xdr:nvSpPr>
        <xdr:cNvPr id="11" name="Rechteck 10">
          <a:extLst>
            <a:ext uri="{FF2B5EF4-FFF2-40B4-BE49-F238E27FC236}">
              <a16:creationId xmlns:a16="http://schemas.microsoft.com/office/drawing/2014/main" id="{FECB29AB-2B47-4174-9510-BE238C4EBE55}"/>
            </a:ext>
          </a:extLst>
        </xdr:cNvPr>
        <xdr:cNvSpPr/>
      </xdr:nvSpPr>
      <xdr:spPr>
        <a:xfrm>
          <a:off x="1866900" y="19050"/>
          <a:ext cx="571500" cy="323850"/>
        </a:xfrm>
        <a:prstGeom prst="rect">
          <a:avLst/>
        </a:prstGeom>
        <a:solidFill>
          <a:srgbClr val="EAEAE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r"/>
          <a:fld id="{8BC82566-49D5-447F-BBC5-FBA140E277B4}" type="TxLink">
            <a:rPr lang="en-US" sz="14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4</a:t>
          </a:fld>
          <a:endParaRPr lang="en-IN" sz="14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5</xdr:col>
      <xdr:colOff>1152525</xdr:colOff>
      <xdr:row>1</xdr:row>
      <xdr:rowOff>180975</xdr:rowOff>
    </xdr:to>
    <xdr:sp macro="" textlink="">
      <xdr:nvSpPr>
        <xdr:cNvPr id="13" name="Pfeil: nach rechts 12">
          <a:extLst>
            <a:ext uri="{FF2B5EF4-FFF2-40B4-BE49-F238E27FC236}">
              <a16:creationId xmlns:a16="http://schemas.microsoft.com/office/drawing/2014/main" id="{D30D2797-57E2-446B-8D24-715FBBABDA80}"/>
            </a:ext>
          </a:extLst>
        </xdr:cNvPr>
        <xdr:cNvSpPr/>
      </xdr:nvSpPr>
      <xdr:spPr>
        <a:xfrm>
          <a:off x="0" y="0"/>
          <a:ext cx="1152525" cy="371475"/>
        </a:xfrm>
        <a:prstGeom prst="rightArrow">
          <a:avLst>
            <a:gd name="adj1" fmla="val 100000"/>
            <a:gd name="adj2" fmla="val 39743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9525</xdr:colOff>
      <xdr:row>0</xdr:row>
      <xdr:rowOff>0</xdr:rowOff>
    </xdr:from>
    <xdr:to>
      <xdr:col>5</xdr:col>
      <xdr:colOff>1000125</xdr:colOff>
      <xdr:row>1</xdr:row>
      <xdr:rowOff>171450</xdr:rowOff>
    </xdr:to>
    <xdr:sp macro="" textlink="">
      <xdr:nvSpPr>
        <xdr:cNvPr id="14" name="Textfeld 13">
          <a:extLst>
            <a:ext uri="{FF2B5EF4-FFF2-40B4-BE49-F238E27FC236}">
              <a16:creationId xmlns:a16="http://schemas.microsoft.com/office/drawing/2014/main" id="{2F897158-CFE1-4338-A8E5-AC889CFA7402}"/>
            </a:ext>
          </a:extLst>
        </xdr:cNvPr>
        <xdr:cNvSpPr txBox="1"/>
      </xdr:nvSpPr>
      <xdr:spPr>
        <a:xfrm>
          <a:off x="9525" y="0"/>
          <a:ext cx="990600" cy="361950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 b="1">
              <a:solidFill>
                <a:srgbClr val="F8F8F8"/>
              </a:solidFill>
            </a:rPr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28575</xdr:rowOff>
        </xdr:from>
        <xdr:to>
          <xdr:col>6</xdr:col>
          <xdr:colOff>693418</xdr:colOff>
          <xdr:row>1</xdr:row>
          <xdr:rowOff>142875</xdr:rowOff>
        </xdr:to>
        <xdr:sp macro="" textlink="">
          <xdr:nvSpPr>
            <xdr:cNvPr id="10244" name="Spinner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C263CB6-512B-47A4-81F9-22BB0E78A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1247774</xdr:colOff>
      <xdr:row>0</xdr:row>
      <xdr:rowOff>0</xdr:rowOff>
    </xdr:from>
    <xdr:to>
      <xdr:col>6</xdr:col>
      <xdr:colOff>2495549</xdr:colOff>
      <xdr:row>1</xdr:row>
      <xdr:rowOff>180975</xdr:rowOff>
    </xdr:to>
    <xdr:sp macro="" textlink="">
      <xdr:nvSpPr>
        <xdr:cNvPr id="16" name="Pfeil: nach rechts 15">
          <a:extLst>
            <a:ext uri="{FF2B5EF4-FFF2-40B4-BE49-F238E27FC236}">
              <a16:creationId xmlns:a16="http://schemas.microsoft.com/office/drawing/2014/main" id="{B08A8A28-0947-4F2E-BAAE-9EDB67E3064C}"/>
            </a:ext>
          </a:extLst>
        </xdr:cNvPr>
        <xdr:cNvSpPr/>
      </xdr:nvSpPr>
      <xdr:spPr>
        <a:xfrm flipH="1">
          <a:off x="2743199" y="0"/>
          <a:ext cx="1247775" cy="371475"/>
        </a:xfrm>
        <a:prstGeom prst="rightArrow">
          <a:avLst>
            <a:gd name="adj1" fmla="val 53846"/>
            <a:gd name="adj2" fmla="val 39743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1400175</xdr:colOff>
      <xdr:row>0</xdr:row>
      <xdr:rowOff>9526</xdr:rowOff>
    </xdr:from>
    <xdr:to>
      <xdr:col>7</xdr:col>
      <xdr:colOff>9525</xdr:colOff>
      <xdr:row>1</xdr:row>
      <xdr:rowOff>180976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20207D98-5915-46FE-96D3-9A4131535545}"/>
            </a:ext>
          </a:extLst>
        </xdr:cNvPr>
        <xdr:cNvSpPr txBox="1"/>
      </xdr:nvSpPr>
      <xdr:spPr>
        <a:xfrm>
          <a:off x="2895600" y="9526"/>
          <a:ext cx="1123950" cy="361950"/>
        </a:xfrm>
        <a:prstGeom prst="rect">
          <a:avLst/>
        </a:prstGeom>
        <a:solidFill>
          <a:srgbClr val="00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800">
              <a:solidFill>
                <a:srgbClr val="F8F8F8"/>
              </a:solidFill>
            </a:rPr>
            <a:t>RECORDS</a:t>
          </a:r>
        </a:p>
      </xdr:txBody>
    </xdr:sp>
    <xdr:clientData/>
  </xdr:twoCellAnchor>
  <xdr:oneCellAnchor>
    <xdr:from>
      <xdr:col>5</xdr:col>
      <xdr:colOff>1190625</xdr:colOff>
      <xdr:row>0</xdr:row>
      <xdr:rowOff>0</xdr:rowOff>
    </xdr:from>
    <xdr:ext cx="495300" cy="371475"/>
    <xdr:pic macro="[0]!Hide_Chart19">
      <xdr:nvPicPr>
        <xdr:cNvPr id="18" name="Grafik 17">
          <a:extLst>
            <a:ext uri="{FF2B5EF4-FFF2-40B4-BE49-F238E27FC236}">
              <a16:creationId xmlns:a16="http://schemas.microsoft.com/office/drawing/2014/main" id="{95E1D485-0D7F-4EA6-B761-D24DE2030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0625" y="0"/>
          <a:ext cx="495300" cy="371475"/>
        </a:xfrm>
        <a:prstGeom prst="rect">
          <a:avLst/>
        </a:prstGeom>
      </xdr:spPr>
    </xdr:pic>
    <xdr:clientData/>
  </xdr:oneCellAnchor>
  <xdr:oneCellAnchor>
    <xdr:from>
      <xdr:col>5</xdr:col>
      <xdr:colOff>1200150</xdr:colOff>
      <xdr:row>0</xdr:row>
      <xdr:rowOff>0</xdr:rowOff>
    </xdr:from>
    <xdr:ext cx="466725" cy="333375"/>
    <xdr:pic macro="[0]!Show_Chart19">
      <xdr:nvPicPr>
        <xdr:cNvPr id="19" name="Grafik 18" hidden="1">
          <a:extLst>
            <a:ext uri="{FF2B5EF4-FFF2-40B4-BE49-F238E27FC236}">
              <a16:creationId xmlns:a16="http://schemas.microsoft.com/office/drawing/2014/main" id="{0011AC3C-840E-4627-A394-BF679FB9F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96175" y="0"/>
          <a:ext cx="466725" cy="333375"/>
        </a:xfrm>
        <a:prstGeom prst="rect">
          <a:avLst/>
        </a:prstGeom>
      </xdr:spPr>
    </xdr:pic>
    <xdr:clientData/>
  </xdr:oneCellAnchor>
  <xdr:twoCellAnchor>
    <xdr:from>
      <xdr:col>5</xdr:col>
      <xdr:colOff>9525</xdr:colOff>
      <xdr:row>9</xdr:row>
      <xdr:rowOff>14286</xdr:rowOff>
    </xdr:from>
    <xdr:to>
      <xdr:col>6</xdr:col>
      <xdr:colOff>1828800</xdr:colOff>
      <xdr:row>21</xdr:row>
      <xdr:rowOff>190499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445E5B12-30AF-265F-ABF1-9A4075908A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1238250</xdr:colOff>
          <xdr:row>9</xdr:row>
          <xdr:rowOff>180975</xdr:rowOff>
        </xdr:from>
        <xdr:to>
          <xdr:col>6</xdr:col>
          <xdr:colOff>1560193</xdr:colOff>
          <xdr:row>11</xdr:row>
          <xdr:rowOff>104775</xdr:rowOff>
        </xdr:to>
        <xdr:sp macro="" textlink="">
          <xdr:nvSpPr>
            <xdr:cNvPr id="10245" name="Spinner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C263CB6-512B-47A4-81F9-22BB0E78A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sy" refreshedDate="45830.916165509261" createdVersion="8" refreshedVersion="8" minRefreshableVersion="3" recordCount="149" xr:uid="{D15BAC2E-26CB-4196-BB8E-248BFF371463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45F1D6-5F7B-470F-A940-E84E447AFD3A}" name="PivotTable2" cacheId="0" applyNumberFormats="0" applyBorderFormats="0" applyFontFormats="0" applyPatternFormats="0" applyAlignmentFormats="0" applyWidthHeightFormats="1" dataCaption="Werte" updatedVersion="8" minRefreshableVersion="3" rowGrandTotals="0" colGrandTotals="0" itemPrintTitles="1" createdVersion="8" indent="0" outline="1" outlineData="1" multipleFieldFilters="0" chartFormat="8">
  <location ref="F4:G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me von Active With Cust." fld="6" baseField="0" baseItem="0" numFmtId="9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7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BEDCAF-4235-4154-9397-649B5E4FDE76}" name="PivotTable1" cacheId="0" applyNumberFormats="0" applyBorderFormats="0" applyFontFormats="0" applyPatternFormats="0" applyAlignmentFormats="0" applyWidthHeightFormats="1" dataCaption="Werte" updatedVersion="8" minRefreshableVersion="3" rowGrandTotals="0" colGrandTotals="0" itemPrintTitles="1" createdVersion="8" indent="0" outline="1" outlineData="1" multipleFieldFilters="0" chartFormat="6">
  <location ref="A4:B11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7">
    <i>
      <x v="7"/>
    </i>
    <i>
      <x v="15"/>
    </i>
    <i>
      <x v="52"/>
    </i>
    <i>
      <x v="85"/>
    </i>
    <i>
      <x v="109"/>
    </i>
    <i>
      <x v="117"/>
    </i>
    <i>
      <x v="126"/>
    </i>
  </rowItems>
  <colItems count="1">
    <i/>
  </colItems>
  <dataFields count="1">
    <dataField name="Employee Total Number of woking hours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3" iMeasureFld="0">
      <autoFilter ref="A1">
        <filterColumn colId="0">
          <top10 val="7" filterVal="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sqref="A1:I1048576"/>
    </sheetView>
  </sheetViews>
  <sheetFormatPr baseColWidth="10" defaultColWidth="9.140625" defaultRowHeight="15" x14ac:dyDescent="0.25"/>
  <cols>
    <col min="1" max="1" width="31.42578125" bestFit="1" customWidth="1"/>
    <col min="2" max="2" width="9.85546875" customWidth="1"/>
    <col min="3" max="3" width="17" customWidth="1"/>
    <col min="4" max="4" width="10" bestFit="1" customWidth="1"/>
    <col min="5" max="6" width="8.7109375" bestFit="1" customWidth="1"/>
    <col min="7" max="7" width="16.85546875" bestFit="1" customWidth="1"/>
    <col min="8" max="8" width="11.85546875" bestFit="1" customWidth="1"/>
    <col min="9" max="9" width="18.28515625" bestFit="1" customWidth="1"/>
  </cols>
  <sheetData>
    <row r="1" spans="1:9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x14ac:dyDescent="0.25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 x14ac:dyDescent="0.25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 x14ac:dyDescent="0.25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 x14ac:dyDescent="0.25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 x14ac:dyDescent="0.25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 x14ac:dyDescent="0.25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 x14ac:dyDescent="0.25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 x14ac:dyDescent="0.25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 x14ac:dyDescent="0.25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 x14ac:dyDescent="0.25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 x14ac:dyDescent="0.25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 x14ac:dyDescent="0.25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 x14ac:dyDescent="0.25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 x14ac:dyDescent="0.25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 x14ac:dyDescent="0.25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 x14ac:dyDescent="0.25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 x14ac:dyDescent="0.25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 x14ac:dyDescent="0.25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 x14ac:dyDescent="0.25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 x14ac:dyDescent="0.25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 x14ac:dyDescent="0.25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 x14ac:dyDescent="0.25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 x14ac:dyDescent="0.25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 x14ac:dyDescent="0.25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 x14ac:dyDescent="0.25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 x14ac:dyDescent="0.25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 x14ac:dyDescent="0.25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 x14ac:dyDescent="0.25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 x14ac:dyDescent="0.25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 x14ac:dyDescent="0.25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 x14ac:dyDescent="0.25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 x14ac:dyDescent="0.25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 x14ac:dyDescent="0.25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 x14ac:dyDescent="0.25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 x14ac:dyDescent="0.25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 x14ac:dyDescent="0.25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 x14ac:dyDescent="0.25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 x14ac:dyDescent="0.25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 x14ac:dyDescent="0.25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 x14ac:dyDescent="0.25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 x14ac:dyDescent="0.25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 x14ac:dyDescent="0.25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 x14ac:dyDescent="0.25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 x14ac:dyDescent="0.25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 x14ac:dyDescent="0.25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 x14ac:dyDescent="0.25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 x14ac:dyDescent="0.25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 x14ac:dyDescent="0.25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 x14ac:dyDescent="0.25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 x14ac:dyDescent="0.25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 x14ac:dyDescent="0.25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 x14ac:dyDescent="0.25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 x14ac:dyDescent="0.25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 x14ac:dyDescent="0.25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 x14ac:dyDescent="0.25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 x14ac:dyDescent="0.25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 x14ac:dyDescent="0.25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 x14ac:dyDescent="0.25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 x14ac:dyDescent="0.25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 x14ac:dyDescent="0.25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 x14ac:dyDescent="0.25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 x14ac:dyDescent="0.25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 x14ac:dyDescent="0.25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 x14ac:dyDescent="0.25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 x14ac:dyDescent="0.25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 x14ac:dyDescent="0.25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 x14ac:dyDescent="0.25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 x14ac:dyDescent="0.25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 x14ac:dyDescent="0.25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 x14ac:dyDescent="0.25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 x14ac:dyDescent="0.25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 x14ac:dyDescent="0.25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 x14ac:dyDescent="0.25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 x14ac:dyDescent="0.25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 x14ac:dyDescent="0.25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 x14ac:dyDescent="0.25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 x14ac:dyDescent="0.25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 x14ac:dyDescent="0.25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 x14ac:dyDescent="0.25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 x14ac:dyDescent="0.25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 x14ac:dyDescent="0.25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 x14ac:dyDescent="0.25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 x14ac:dyDescent="0.25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 x14ac:dyDescent="0.25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 x14ac:dyDescent="0.25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 x14ac:dyDescent="0.25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 x14ac:dyDescent="0.25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 x14ac:dyDescent="0.25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 x14ac:dyDescent="0.25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 x14ac:dyDescent="0.25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 x14ac:dyDescent="0.25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 x14ac:dyDescent="0.25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 x14ac:dyDescent="0.25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 x14ac:dyDescent="0.25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 x14ac:dyDescent="0.25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 x14ac:dyDescent="0.25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 x14ac:dyDescent="0.25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 x14ac:dyDescent="0.25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 x14ac:dyDescent="0.25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 x14ac:dyDescent="0.25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 x14ac:dyDescent="0.25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 x14ac:dyDescent="0.25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 x14ac:dyDescent="0.25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 x14ac:dyDescent="0.25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 x14ac:dyDescent="0.25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 x14ac:dyDescent="0.25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 x14ac:dyDescent="0.25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 x14ac:dyDescent="0.25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 x14ac:dyDescent="0.25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 x14ac:dyDescent="0.25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 x14ac:dyDescent="0.25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 x14ac:dyDescent="0.25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 x14ac:dyDescent="0.25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 x14ac:dyDescent="0.25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 x14ac:dyDescent="0.25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 x14ac:dyDescent="0.25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 x14ac:dyDescent="0.25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 x14ac:dyDescent="0.25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 x14ac:dyDescent="0.25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 x14ac:dyDescent="0.25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 x14ac:dyDescent="0.25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 x14ac:dyDescent="0.25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 x14ac:dyDescent="0.25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 x14ac:dyDescent="0.25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 x14ac:dyDescent="0.25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 x14ac:dyDescent="0.25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 x14ac:dyDescent="0.25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 x14ac:dyDescent="0.25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 x14ac:dyDescent="0.25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 x14ac:dyDescent="0.25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 x14ac:dyDescent="0.25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 x14ac:dyDescent="0.25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 x14ac:dyDescent="0.25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 x14ac:dyDescent="0.25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 x14ac:dyDescent="0.25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 x14ac:dyDescent="0.25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 x14ac:dyDescent="0.25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 x14ac:dyDescent="0.25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 x14ac:dyDescent="0.25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 x14ac:dyDescent="0.25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 x14ac:dyDescent="0.25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 x14ac:dyDescent="0.25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 x14ac:dyDescent="0.25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 x14ac:dyDescent="0.25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 x14ac:dyDescent="0.25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 x14ac:dyDescent="0.25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 x14ac:dyDescent="0.25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 x14ac:dyDescent="0.25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 x14ac:dyDescent="0.25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sqref="A1:Q1048576"/>
    </sheetView>
  </sheetViews>
  <sheetFormatPr baseColWidth="10" defaultColWidth="9.140625" defaultRowHeight="15" x14ac:dyDescent="0.25"/>
  <cols>
    <col min="1" max="1" width="27" bestFit="1" customWidth="1"/>
    <col min="2" max="2" width="15.42578125" bestFit="1" customWidth="1"/>
    <col min="3" max="3" width="11.7109375" bestFit="1" customWidth="1"/>
    <col min="4" max="4" width="11.42578125" bestFit="1" customWidth="1"/>
    <col min="5" max="5" width="18.28515625" bestFit="1" customWidth="1"/>
    <col min="6" max="6" width="13.5703125" bestFit="1" customWidth="1"/>
    <col min="7" max="7" width="9.28515625" bestFit="1" customWidth="1"/>
    <col min="8" max="8" width="6.42578125" bestFit="1" customWidth="1"/>
    <col min="9" max="9" width="11.7109375" bestFit="1" customWidth="1"/>
    <col min="10" max="10" width="9.42578125" bestFit="1" customWidth="1"/>
    <col min="11" max="11" width="13.85546875" bestFit="1" customWidth="1"/>
    <col min="12" max="12" width="10.140625" bestFit="1" customWidth="1"/>
    <col min="13" max="13" width="11.28515625" bestFit="1" customWidth="1"/>
    <col min="14" max="14" width="8" bestFit="1" customWidth="1"/>
    <col min="15" max="15" width="13" bestFit="1" customWidth="1"/>
    <col min="16" max="16" width="11.5703125" bestFit="1" customWidth="1"/>
    <col min="17" max="17" width="6.28515625" bestFit="1" customWidth="1"/>
  </cols>
  <sheetData>
    <row r="1" spans="1:17" s="10" customFormat="1" ht="25.5" x14ac:dyDescent="0.25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25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 x14ac:dyDescent="0.25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 x14ac:dyDescent="0.25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 x14ac:dyDescent="0.25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 x14ac:dyDescent="0.25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 x14ac:dyDescent="0.25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 x14ac:dyDescent="0.25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 x14ac:dyDescent="0.25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 x14ac:dyDescent="0.25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 x14ac:dyDescent="0.25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 x14ac:dyDescent="0.25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 x14ac:dyDescent="0.25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 x14ac:dyDescent="0.25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 x14ac:dyDescent="0.25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 x14ac:dyDescent="0.25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 x14ac:dyDescent="0.25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 x14ac:dyDescent="0.25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 x14ac:dyDescent="0.25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 x14ac:dyDescent="0.25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 x14ac:dyDescent="0.25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 x14ac:dyDescent="0.25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 x14ac:dyDescent="0.25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 x14ac:dyDescent="0.25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 x14ac:dyDescent="0.25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 x14ac:dyDescent="0.25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 x14ac:dyDescent="0.25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 x14ac:dyDescent="0.25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 x14ac:dyDescent="0.25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 x14ac:dyDescent="0.25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 x14ac:dyDescent="0.25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 x14ac:dyDescent="0.25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 x14ac:dyDescent="0.25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 x14ac:dyDescent="0.25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 x14ac:dyDescent="0.25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 x14ac:dyDescent="0.25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 x14ac:dyDescent="0.25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 x14ac:dyDescent="0.25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 x14ac:dyDescent="0.25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 x14ac:dyDescent="0.25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 x14ac:dyDescent="0.25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 x14ac:dyDescent="0.25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 x14ac:dyDescent="0.25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 x14ac:dyDescent="0.25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 x14ac:dyDescent="0.25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 x14ac:dyDescent="0.25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 x14ac:dyDescent="0.25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 x14ac:dyDescent="0.25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 x14ac:dyDescent="0.25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 x14ac:dyDescent="0.25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 x14ac:dyDescent="0.25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 x14ac:dyDescent="0.25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 x14ac:dyDescent="0.25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 x14ac:dyDescent="0.25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 x14ac:dyDescent="0.25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 x14ac:dyDescent="0.25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 x14ac:dyDescent="0.25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 x14ac:dyDescent="0.25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 x14ac:dyDescent="0.25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 x14ac:dyDescent="0.25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 x14ac:dyDescent="0.25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 x14ac:dyDescent="0.25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 x14ac:dyDescent="0.25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 x14ac:dyDescent="0.25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 x14ac:dyDescent="0.25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 x14ac:dyDescent="0.25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 x14ac:dyDescent="0.25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 x14ac:dyDescent="0.25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 x14ac:dyDescent="0.25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 x14ac:dyDescent="0.25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 x14ac:dyDescent="0.25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 x14ac:dyDescent="0.25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 x14ac:dyDescent="0.25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 x14ac:dyDescent="0.25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 x14ac:dyDescent="0.25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 x14ac:dyDescent="0.25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 x14ac:dyDescent="0.25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 x14ac:dyDescent="0.25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 x14ac:dyDescent="0.25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 x14ac:dyDescent="0.25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 x14ac:dyDescent="0.25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 x14ac:dyDescent="0.25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 x14ac:dyDescent="0.25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 x14ac:dyDescent="0.25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 x14ac:dyDescent="0.25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 x14ac:dyDescent="0.25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 x14ac:dyDescent="0.25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 x14ac:dyDescent="0.25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 x14ac:dyDescent="0.25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 x14ac:dyDescent="0.25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 x14ac:dyDescent="0.25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 x14ac:dyDescent="0.25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 x14ac:dyDescent="0.25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 x14ac:dyDescent="0.25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 x14ac:dyDescent="0.25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 x14ac:dyDescent="0.25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 x14ac:dyDescent="0.25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 x14ac:dyDescent="0.25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25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 x14ac:dyDescent="0.25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 x14ac:dyDescent="0.25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 x14ac:dyDescent="0.25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 x14ac:dyDescent="0.25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 x14ac:dyDescent="0.25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 x14ac:dyDescent="0.25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 x14ac:dyDescent="0.25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 x14ac:dyDescent="0.25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 x14ac:dyDescent="0.25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 x14ac:dyDescent="0.25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 x14ac:dyDescent="0.25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 x14ac:dyDescent="0.25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 x14ac:dyDescent="0.25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 x14ac:dyDescent="0.25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 x14ac:dyDescent="0.25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 x14ac:dyDescent="0.25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 x14ac:dyDescent="0.25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 x14ac:dyDescent="0.25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 x14ac:dyDescent="0.25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 x14ac:dyDescent="0.25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 x14ac:dyDescent="0.25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 x14ac:dyDescent="0.25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 x14ac:dyDescent="0.25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 x14ac:dyDescent="0.25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 x14ac:dyDescent="0.25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 x14ac:dyDescent="0.25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 x14ac:dyDescent="0.25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 x14ac:dyDescent="0.25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 x14ac:dyDescent="0.25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 x14ac:dyDescent="0.25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 x14ac:dyDescent="0.25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25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 x14ac:dyDescent="0.25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 x14ac:dyDescent="0.25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 x14ac:dyDescent="0.25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 x14ac:dyDescent="0.25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 x14ac:dyDescent="0.25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 x14ac:dyDescent="0.25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 x14ac:dyDescent="0.25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 x14ac:dyDescent="0.25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 x14ac:dyDescent="0.25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 x14ac:dyDescent="0.25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 x14ac:dyDescent="0.25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 x14ac:dyDescent="0.25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 x14ac:dyDescent="0.25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 x14ac:dyDescent="0.25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 x14ac:dyDescent="0.25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 x14ac:dyDescent="0.25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 x14ac:dyDescent="0.25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 x14ac:dyDescent="0.25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 x14ac:dyDescent="0.25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sqref="A1:J1048576"/>
    </sheetView>
  </sheetViews>
  <sheetFormatPr baseColWidth="10" defaultColWidth="9.140625" defaultRowHeight="15" x14ac:dyDescent="0.25"/>
  <cols>
    <col min="1" max="1" width="33.42578125" bestFit="1" customWidth="1"/>
    <col min="2" max="2" width="11.28515625" bestFit="1" customWidth="1"/>
    <col min="3" max="3" width="13" bestFit="1" customWidth="1"/>
    <col min="4" max="4" width="13.140625" bestFit="1" customWidth="1"/>
    <col min="5" max="5" width="11.85546875" bestFit="1" customWidth="1"/>
    <col min="6" max="6" width="8.140625" bestFit="1" customWidth="1"/>
    <col min="7" max="7" width="14.28515625" bestFit="1" customWidth="1"/>
    <col min="8" max="8" width="19.42578125" bestFit="1" customWidth="1"/>
    <col min="9" max="9" width="18.7109375" bestFit="1" customWidth="1"/>
    <col min="10" max="10" width="16" bestFit="1" customWidth="1"/>
  </cols>
  <sheetData>
    <row r="1" spans="1:10" ht="25.5" x14ac:dyDescent="0.25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25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25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25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25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25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25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25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25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25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25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25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25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25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25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25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25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25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25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25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25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25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25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25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25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25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25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25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25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25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25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25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25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25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25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25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25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25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25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25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25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25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25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25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25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25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25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25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25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25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25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25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25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25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25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25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25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25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25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25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25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25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25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25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25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25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25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25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25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25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25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25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25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25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25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25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25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25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25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25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25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25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25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25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25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25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25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25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25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25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25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25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25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25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25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25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25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25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25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25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25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25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25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25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25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25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25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25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25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25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25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25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25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25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25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25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25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25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25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25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25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25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25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25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25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25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25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25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25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25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25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25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25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25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25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25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25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25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25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25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25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25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25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25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25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25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25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25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25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25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activeCell="D2" sqref="A1:G150"/>
    </sheetView>
  </sheetViews>
  <sheetFormatPr baseColWidth="10" defaultColWidth="9.140625" defaultRowHeight="15" x14ac:dyDescent="0.25"/>
  <cols>
    <col min="1" max="1" width="29.28515625" customWidth="1"/>
    <col min="2" max="2" width="13.85546875" customWidth="1"/>
    <col min="3" max="3" width="29.85546875" customWidth="1"/>
    <col min="4" max="4" width="18.7109375" customWidth="1"/>
    <col min="5" max="5" width="17.7109375" customWidth="1"/>
    <col min="6" max="6" width="11.28515625" bestFit="1" customWidth="1"/>
    <col min="7" max="7" width="13.42578125" bestFit="1" customWidth="1"/>
  </cols>
  <sheetData>
    <row r="1" spans="1:7" ht="21" x14ac:dyDescent="0.25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25">
      <c r="A2" t="str">
        <f>Break!A2</f>
        <v>Mum_Abdul Hamid (1008512)</v>
      </c>
      <c r="B2" t="str">
        <f>MID(A2,FIND("_",A2,1)+1,FIND("(",A2,1)-FIND("_",A2,1)-2)</f>
        <v>Abdul Hamid</v>
      </c>
      <c r="C2" s="12">
        <f>TIMEVALUE(VLOOKUP(A2,EData,2,0))</f>
        <v>0.34424768518518517</v>
      </c>
      <c r="D2" s="12">
        <f t="shared" ref="D2:D33" si="0">TIMEVALUE(VLOOKUP(A2,EData,3,0))</f>
        <v>0.20693287037037036</v>
      </c>
      <c r="E2" s="12">
        <f t="shared" ref="E2:E33" si="1">TIMEVALUE(VLOOKUP(A2,BData,9,0))</f>
        <v>4.7708333333333332E-2</v>
      </c>
      <c r="F2">
        <f t="shared" ref="F2:F33" si="2">VLOOKUP(A2,PData,2,0)</f>
        <v>98</v>
      </c>
      <c r="G2" s="13">
        <f t="shared" ref="G2:G33" si="3">VLOOKUP(A2,EData,6,0)</f>
        <v>0.55697138822580095</v>
      </c>
    </row>
    <row r="3" spans="1:7" x14ac:dyDescent="0.25">
      <c r="A3" t="str">
        <f>Break!A3</f>
        <v>Mum_Afzal Husain (1008513)</v>
      </c>
      <c r="B3" t="str">
        <f>MID(A3,FIND("_",A3,1)+1,FIND("(",A3,1)-FIND("_",A3,1)-2)</f>
        <v>Afzal Husain</v>
      </c>
      <c r="C3" s="12">
        <f>TIMEVALUE(VLOOKUP(A3,EData,2,0))</f>
        <v>0.34416666666666668</v>
      </c>
      <c r="D3" s="12">
        <f t="shared" si="0"/>
        <v>0.20733796296296297</v>
      </c>
      <c r="E3" s="12">
        <f t="shared" si="1"/>
        <v>4.8599537037037038E-2</v>
      </c>
      <c r="F3">
        <f t="shared" si="2"/>
        <v>23</v>
      </c>
      <c r="G3" s="13">
        <f t="shared" si="3"/>
        <v>0.58027306967984904</v>
      </c>
    </row>
    <row r="4" spans="1:7" x14ac:dyDescent="0.25">
      <c r="A4" t="str">
        <f>Break!A4</f>
        <v>Mum_Anamika Gupta (1008514)</v>
      </c>
      <c r="B4" t="str">
        <f>MID(A4,FIND("_",A4,1)+1,FIND("(",A4,1)-FIND("_",A4,1)-2)</f>
        <v>Anamika Gupta</v>
      </c>
      <c r="C4" s="12">
        <f>TIMEVALUE(VLOOKUP(A4,EData,2,0))</f>
        <v>0.34510416666666666</v>
      </c>
      <c r="D4" s="12">
        <f t="shared" si="0"/>
        <v>0.20109953703703703</v>
      </c>
      <c r="E4" s="12">
        <f t="shared" si="1"/>
        <v>5.1319444444444445E-2</v>
      </c>
      <c r="F4">
        <f t="shared" si="2"/>
        <v>28</v>
      </c>
      <c r="G4" s="13">
        <f t="shared" si="3"/>
        <v>0.51708756749505302</v>
      </c>
    </row>
    <row r="5" spans="1:7" x14ac:dyDescent="0.25">
      <c r="A5" t="str">
        <f>Break!A5</f>
        <v>Mum_Anikuttan (1008515)</v>
      </c>
      <c r="B5" t="str">
        <f>MID(A5,FIND("_",A5,1)+1,FIND("(",A5,1)-FIND("_",A5,1)-2)</f>
        <v>Anikuttan</v>
      </c>
      <c r="C5" s="12">
        <f>TIMEVALUE(VLOOKUP(A5,EData,2,0))</f>
        <v>0.34023148148148147</v>
      </c>
      <c r="D5" s="12">
        <f t="shared" si="0"/>
        <v>0.17884259259259258</v>
      </c>
      <c r="E5" s="12">
        <f t="shared" si="1"/>
        <v>9.6550925925925929E-2</v>
      </c>
      <c r="F5">
        <f t="shared" si="2"/>
        <v>29</v>
      </c>
      <c r="G5" s="13">
        <f t="shared" si="3"/>
        <v>0.47720778337188702</v>
      </c>
    </row>
    <row r="6" spans="1:7" x14ac:dyDescent="0.25">
      <c r="A6" t="str">
        <f>Break!A6</f>
        <v>Mum_Anil Kumar (1008516)</v>
      </c>
      <c r="B6" t="str">
        <f>MID(A6,FIND("_",A6,1)+1,FIND("(",A6,1)-FIND("_",A6,1)-2)</f>
        <v>Anil Kumar</v>
      </c>
      <c r="C6" s="12">
        <f>TIMEVALUE(VLOOKUP(A6,EData,2,0))</f>
        <v>0.30603009259259262</v>
      </c>
      <c r="D6" s="12">
        <f t="shared" si="0"/>
        <v>0.13870370370370369</v>
      </c>
      <c r="E6" s="12">
        <f t="shared" si="1"/>
        <v>0.12844907407407408</v>
      </c>
      <c r="F6">
        <f t="shared" si="2"/>
        <v>93</v>
      </c>
      <c r="G6" s="13">
        <f t="shared" si="3"/>
        <v>0.43288831738587802</v>
      </c>
    </row>
    <row r="7" spans="1:7" x14ac:dyDescent="0.25">
      <c r="A7" t="str">
        <f>Break!A7</f>
        <v>Mum_Anita Dixit (1008517)</v>
      </c>
      <c r="B7" t="str">
        <f t="shared" ref="B7:B66" si="4">MID(A7,FIND("_",A7,1)+1,FIND("(",A7,1)-FIND("_",A7,1)-2)</f>
        <v>Anita Dixit</v>
      </c>
      <c r="C7" s="12">
        <f t="shared" ref="C7:C33" si="5">TIMEVALUE(VLOOKUP(A7,EData,2,0))</f>
        <v>0.2084375</v>
      </c>
      <c r="D7" s="12">
        <f t="shared" si="0"/>
        <v>0.15369212962962964</v>
      </c>
      <c r="E7" s="12">
        <f t="shared" si="1"/>
        <v>1.8831018518518518E-2</v>
      </c>
      <c r="F7">
        <f t="shared" si="2"/>
        <v>92</v>
      </c>
      <c r="G7" s="13">
        <f t="shared" si="3"/>
        <v>0.65495030262646503</v>
      </c>
    </row>
    <row r="8" spans="1:7" x14ac:dyDescent="0.25">
      <c r="A8" t="str">
        <f>Break!A8</f>
        <v>Mum_Anita Ghore (1008518)</v>
      </c>
      <c r="B8" t="str">
        <f>MID(A8,FIND("_",A8,1)+1,FIND("(",A8,1)-FIND("_",A8,1)-2)</f>
        <v>Anita Ghore</v>
      </c>
      <c r="C8" s="12">
        <f t="shared" si="5"/>
        <v>0.34488425925925925</v>
      </c>
      <c r="D8" s="12">
        <f t="shared" si="0"/>
        <v>0.17553240740740741</v>
      </c>
      <c r="E8" s="12">
        <f t="shared" si="1"/>
        <v>0.11229166666666666</v>
      </c>
      <c r="F8">
        <f t="shared" si="2"/>
        <v>26</v>
      </c>
      <c r="G8" s="13">
        <f t="shared" si="3"/>
        <v>0.49476474931203401</v>
      </c>
    </row>
    <row r="9" spans="1:7" x14ac:dyDescent="0.25">
      <c r="A9" t="str">
        <f>Break!A9</f>
        <v>Mum_Anjali Deoram (1008519)</v>
      </c>
      <c r="B9" t="str">
        <f>MID(A9,FIND("_",A9,1)+1,FIND("(",A9,1)-FIND("_",A9,1)-2)</f>
        <v>Anjali Deoram</v>
      </c>
      <c r="C9" s="12">
        <f t="shared" si="5"/>
        <v>0.38646990740740739</v>
      </c>
      <c r="D9" s="12">
        <f t="shared" si="0"/>
        <v>0.24453703703703702</v>
      </c>
      <c r="E9" s="12">
        <f t="shared" si="1"/>
        <v>5.0810185185185187E-2</v>
      </c>
      <c r="F9">
        <f t="shared" si="2"/>
        <v>90</v>
      </c>
      <c r="G9" s="13">
        <f t="shared" si="3"/>
        <v>0.55128627474469205</v>
      </c>
    </row>
    <row r="10" spans="1:7" x14ac:dyDescent="0.25">
      <c r="A10" t="str">
        <f>Break!A10</f>
        <v>Mum_Anjali Sahay (1008520)</v>
      </c>
      <c r="B10" t="str">
        <f t="shared" si="4"/>
        <v>Anjali Sahay</v>
      </c>
      <c r="C10" s="12">
        <f t="shared" si="5"/>
        <v>0.34256944444444443</v>
      </c>
      <c r="D10" s="12">
        <f t="shared" si="0"/>
        <v>0.20311342592592593</v>
      </c>
      <c r="E10" s="12">
        <f t="shared" si="1"/>
        <v>4.628472222222222E-2</v>
      </c>
      <c r="F10">
        <f t="shared" si="2"/>
        <v>89</v>
      </c>
      <c r="G10" s="13">
        <f t="shared" si="3"/>
        <v>0.55206432867085597</v>
      </c>
    </row>
    <row r="11" spans="1:7" x14ac:dyDescent="0.25">
      <c r="A11" t="str">
        <f>Break!A11</f>
        <v>Mum_Annu Latika (1008521)</v>
      </c>
      <c r="B11" t="str">
        <f t="shared" si="4"/>
        <v>Annu Latika</v>
      </c>
      <c r="C11" s="12">
        <f t="shared" si="5"/>
        <v>0.34769675925925925</v>
      </c>
      <c r="D11" s="12">
        <f t="shared" si="0"/>
        <v>0.20702546296296295</v>
      </c>
      <c r="E11" s="12">
        <f t="shared" si="1"/>
        <v>4.8576388888888891E-2</v>
      </c>
      <c r="F11">
        <f t="shared" si="2"/>
        <v>54</v>
      </c>
      <c r="G11" s="13">
        <f t="shared" si="3"/>
        <v>0.56868945774108703</v>
      </c>
    </row>
    <row r="12" spans="1:7" x14ac:dyDescent="0.25">
      <c r="A12" t="str">
        <f>Break!A12</f>
        <v>Mum_Anoop Narayan (1008522)</v>
      </c>
      <c r="B12" t="str">
        <f t="shared" si="4"/>
        <v>Anoop Narayan</v>
      </c>
      <c r="C12" s="12">
        <f t="shared" si="5"/>
        <v>0.34068287037037037</v>
      </c>
      <c r="D12" s="12">
        <f t="shared" si="0"/>
        <v>0.20518518518518519</v>
      </c>
      <c r="E12" s="12">
        <f t="shared" si="1"/>
        <v>4.809027777777778E-2</v>
      </c>
      <c r="F12">
        <f t="shared" si="2"/>
        <v>87</v>
      </c>
      <c r="G12" s="13">
        <f t="shared" si="3"/>
        <v>0.56035332087650802</v>
      </c>
    </row>
    <row r="13" spans="1:7" x14ac:dyDescent="0.25">
      <c r="A13" t="str">
        <f>Break!A13</f>
        <v>Mum_Anoop Raj (1008523)</v>
      </c>
      <c r="B13" t="str">
        <f t="shared" si="4"/>
        <v>Anoop Raj</v>
      </c>
      <c r="C13" s="12">
        <f t="shared" si="5"/>
        <v>0.33622685185185186</v>
      </c>
      <c r="D13" s="12">
        <f t="shared" si="0"/>
        <v>0.15812499999999999</v>
      </c>
      <c r="E13" s="12">
        <f t="shared" si="1"/>
        <v>0.12590277777777778</v>
      </c>
      <c r="F13">
        <f t="shared" si="2"/>
        <v>65</v>
      </c>
      <c r="G13" s="13">
        <f t="shared" si="3"/>
        <v>0.41552495697073999</v>
      </c>
    </row>
    <row r="14" spans="1:7" x14ac:dyDescent="0.25">
      <c r="A14" t="str">
        <f>Break!A14</f>
        <v>Mum_Anubhuti Gupta (1008524)</v>
      </c>
      <c r="B14" t="str">
        <f t="shared" si="4"/>
        <v>Anubhuti Gupta</v>
      </c>
      <c r="C14" s="12">
        <f t="shared" si="5"/>
        <v>0.34349537037037037</v>
      </c>
      <c r="D14" s="12">
        <f t="shared" si="0"/>
        <v>0.19699074074074074</v>
      </c>
      <c r="E14" s="12">
        <f t="shared" si="1"/>
        <v>8.7974537037037032E-2</v>
      </c>
      <c r="F14">
        <f t="shared" si="2"/>
        <v>85</v>
      </c>
      <c r="G14" s="13">
        <f t="shared" si="3"/>
        <v>0.50026955994339195</v>
      </c>
    </row>
    <row r="15" spans="1:7" x14ac:dyDescent="0.25">
      <c r="A15" t="str">
        <f>Break!A15</f>
        <v>Mum_Arun Kumar (1008525)</v>
      </c>
      <c r="B15" t="str">
        <f t="shared" si="4"/>
        <v>Arun Kumar</v>
      </c>
      <c r="C15" s="12">
        <f t="shared" si="5"/>
        <v>0.33321759259259259</v>
      </c>
      <c r="D15" s="12">
        <f t="shared" si="0"/>
        <v>0.19475694444444444</v>
      </c>
      <c r="E15" s="12">
        <f t="shared" si="1"/>
        <v>4.9004629629629627E-2</v>
      </c>
      <c r="F15">
        <f t="shared" si="2"/>
        <v>65</v>
      </c>
      <c r="G15" s="13">
        <f t="shared" si="3"/>
        <v>0.51396318166029897</v>
      </c>
    </row>
    <row r="16" spans="1:7" x14ac:dyDescent="0.25">
      <c r="A16" t="str">
        <f>Break!A16</f>
        <v>Mum_Ashish Kumar (1008526)</v>
      </c>
      <c r="B16" t="str">
        <f t="shared" si="4"/>
        <v>Ashish Kumar</v>
      </c>
      <c r="C16" s="12">
        <f t="shared" si="5"/>
        <v>0.34512731481481479</v>
      </c>
      <c r="D16" s="12">
        <f t="shared" si="0"/>
        <v>0.2066550925925926</v>
      </c>
      <c r="E16" s="12">
        <f t="shared" si="1"/>
        <v>5.3460648148148146E-2</v>
      </c>
      <c r="F16">
        <f t="shared" si="2"/>
        <v>83</v>
      </c>
      <c r="G16" s="13">
        <f t="shared" si="3"/>
        <v>0.510580502364264</v>
      </c>
    </row>
    <row r="17" spans="1:7" x14ac:dyDescent="0.25">
      <c r="A17" t="str">
        <f>Break!A17</f>
        <v>Mum_Ashok Kumar (1008527)</v>
      </c>
      <c r="B17" t="str">
        <f t="shared" si="4"/>
        <v>Ashok Kumar</v>
      </c>
      <c r="C17" s="12">
        <f t="shared" si="5"/>
        <v>0.34531250000000002</v>
      </c>
      <c r="D17" s="12">
        <f t="shared" si="0"/>
        <v>0.17390046296296297</v>
      </c>
      <c r="E17" s="12">
        <f t="shared" si="1"/>
        <v>0.10023148148148148</v>
      </c>
      <c r="F17">
        <f t="shared" si="2"/>
        <v>82</v>
      </c>
      <c r="G17" s="13">
        <f t="shared" si="3"/>
        <v>0.48292274174627098</v>
      </c>
    </row>
    <row r="18" spans="1:7" x14ac:dyDescent="0.25">
      <c r="A18" t="str">
        <f>Break!A18</f>
        <v>Hyd_Ashok Kumar (1008528)</v>
      </c>
      <c r="B18" t="str">
        <f t="shared" si="4"/>
        <v>Ashok Kumar</v>
      </c>
      <c r="C18" s="12">
        <f t="shared" si="5"/>
        <v>0.32848379629629632</v>
      </c>
      <c r="D18" s="12">
        <f t="shared" si="0"/>
        <v>0.1973611111111111</v>
      </c>
      <c r="E18" s="12">
        <f t="shared" si="1"/>
        <v>3.9224537037037037E-2</v>
      </c>
      <c r="F18">
        <f t="shared" si="2"/>
        <v>81</v>
      </c>
      <c r="G18" s="13">
        <f t="shared" si="3"/>
        <v>0.57362319861879396</v>
      </c>
    </row>
    <row r="19" spans="1:7" x14ac:dyDescent="0.25">
      <c r="A19" t="str">
        <f>Break!A19</f>
        <v>Hyd_Ashok Kumar (1008529)</v>
      </c>
      <c r="B19" t="str">
        <f t="shared" si="4"/>
        <v>Ashok Kumar</v>
      </c>
      <c r="C19" s="12">
        <f t="shared" si="5"/>
        <v>0.34494212962962961</v>
      </c>
      <c r="D19" s="12">
        <f t="shared" si="0"/>
        <v>0.20702546296296295</v>
      </c>
      <c r="E19" s="12">
        <f t="shared" si="1"/>
        <v>4.8692129629629627E-2</v>
      </c>
      <c r="F19">
        <f t="shared" si="2"/>
        <v>80</v>
      </c>
      <c r="G19" s="13">
        <f t="shared" si="3"/>
        <v>0.56430560681810604</v>
      </c>
    </row>
    <row r="20" spans="1:7" x14ac:dyDescent="0.25">
      <c r="A20" t="str">
        <f>Break!A20</f>
        <v>Hyd_Ashok Kumar (1008530)</v>
      </c>
      <c r="B20" t="str">
        <f t="shared" si="4"/>
        <v>Ashok Kumar</v>
      </c>
      <c r="C20" s="12">
        <f t="shared" si="5"/>
        <v>0.34810185185185183</v>
      </c>
      <c r="D20" s="12">
        <f t="shared" si="0"/>
        <v>0.18267361111111111</v>
      </c>
      <c r="E20" s="12">
        <f t="shared" si="1"/>
        <v>0.11122685185185185</v>
      </c>
      <c r="F20">
        <f t="shared" si="2"/>
        <v>79</v>
      </c>
      <c r="G20" s="13">
        <f t="shared" si="3"/>
        <v>0.46974331693044302</v>
      </c>
    </row>
    <row r="21" spans="1:7" x14ac:dyDescent="0.25">
      <c r="A21" t="str">
        <f>Break!A21</f>
        <v>Hyd_Ashok Mahto (1008531)</v>
      </c>
      <c r="B21" t="str">
        <f t="shared" si="4"/>
        <v>Ashok Mahto</v>
      </c>
      <c r="C21" s="12">
        <f t="shared" si="5"/>
        <v>0.34574074074074074</v>
      </c>
      <c r="D21" s="12">
        <f t="shared" si="0"/>
        <v>0.20710648148148147</v>
      </c>
      <c r="E21" s="12">
        <f t="shared" si="1"/>
        <v>5.1736111111111108E-2</v>
      </c>
      <c r="F21">
        <f t="shared" si="2"/>
        <v>78</v>
      </c>
      <c r="G21" s="13">
        <f t="shared" si="3"/>
        <v>0.57495313336904097</v>
      </c>
    </row>
    <row r="22" spans="1:7" x14ac:dyDescent="0.25">
      <c r="A22" t="str">
        <f>Break!A22</f>
        <v>Hyd_Atul Kumar (1008532)</v>
      </c>
      <c r="B22" t="str">
        <f t="shared" si="4"/>
        <v>Atul Kumar</v>
      </c>
      <c r="C22" s="12">
        <f t="shared" si="5"/>
        <v>0.34283564814814815</v>
      </c>
      <c r="D22" s="12">
        <f t="shared" si="0"/>
        <v>0.20393518518518519</v>
      </c>
      <c r="E22" s="12">
        <f t="shared" si="1"/>
        <v>4.6516203703703705E-2</v>
      </c>
      <c r="F22">
        <f t="shared" si="2"/>
        <v>77</v>
      </c>
      <c r="G22" s="13">
        <f t="shared" si="3"/>
        <v>0.57945376590932096</v>
      </c>
    </row>
    <row r="23" spans="1:7" x14ac:dyDescent="0.25">
      <c r="A23" t="str">
        <f>Break!A23</f>
        <v>Hyd_Azam (1008533)</v>
      </c>
      <c r="B23" t="str">
        <f t="shared" si="4"/>
        <v>Azam</v>
      </c>
      <c r="C23" s="12">
        <f t="shared" si="5"/>
        <v>0.34553240740740743</v>
      </c>
      <c r="D23" s="12">
        <f t="shared" si="0"/>
        <v>0.20821759259259259</v>
      </c>
      <c r="E23" s="12">
        <f t="shared" si="1"/>
        <v>4.8460648148148149E-2</v>
      </c>
      <c r="F23">
        <f t="shared" si="2"/>
        <v>76</v>
      </c>
      <c r="G23" s="13">
        <f t="shared" si="3"/>
        <v>0.588296375695049</v>
      </c>
    </row>
    <row r="24" spans="1:7" x14ac:dyDescent="0.25">
      <c r="A24" t="str">
        <f>Break!A24</f>
        <v>Hyd_Bhagwat Singh (1008534)</v>
      </c>
      <c r="B24" t="str">
        <f t="shared" si="4"/>
        <v>Bhagwat Singh</v>
      </c>
      <c r="C24" s="12">
        <f t="shared" si="5"/>
        <v>0.32064814814814813</v>
      </c>
      <c r="D24" s="12">
        <f t="shared" si="0"/>
        <v>0.17288194444444444</v>
      </c>
      <c r="E24" s="12">
        <f t="shared" si="1"/>
        <v>9.0486111111111114E-2</v>
      </c>
      <c r="F24">
        <f t="shared" si="2"/>
        <v>75</v>
      </c>
      <c r="G24" s="13">
        <f t="shared" si="3"/>
        <v>0.46267686976609901</v>
      </c>
    </row>
    <row r="25" spans="1:7" x14ac:dyDescent="0.25">
      <c r="A25" t="str">
        <f>Break!A25</f>
        <v>Hyd_Bindu Nair (1008535)</v>
      </c>
      <c r="B25" t="str">
        <f t="shared" si="4"/>
        <v>Bindu Nair</v>
      </c>
      <c r="C25" s="12">
        <f t="shared" si="5"/>
        <v>0.34032407407407406</v>
      </c>
      <c r="D25" s="12">
        <f t="shared" si="0"/>
        <v>0.17644675925925926</v>
      </c>
      <c r="E25" s="12">
        <f t="shared" si="1"/>
        <v>9.1168981481481476E-2</v>
      </c>
      <c r="F25">
        <f t="shared" si="2"/>
        <v>74</v>
      </c>
      <c r="G25" s="13">
        <f t="shared" si="3"/>
        <v>0.478030199972793</v>
      </c>
    </row>
    <row r="26" spans="1:7" x14ac:dyDescent="0.25">
      <c r="A26" t="str">
        <f>Break!A26</f>
        <v>Hyd_Daleep Singh (1008536)</v>
      </c>
      <c r="B26" t="str">
        <f t="shared" si="4"/>
        <v>Daleep Singh</v>
      </c>
      <c r="C26" s="12">
        <f t="shared" si="5"/>
        <v>0.34328703703703706</v>
      </c>
      <c r="D26" s="12">
        <f t="shared" si="0"/>
        <v>0.22703703703703704</v>
      </c>
      <c r="E26" s="12">
        <f t="shared" si="1"/>
        <v>5.0625000000000003E-2</v>
      </c>
      <c r="F26">
        <f t="shared" si="2"/>
        <v>73</v>
      </c>
      <c r="G26" s="13">
        <f t="shared" si="3"/>
        <v>0.59983142279163904</v>
      </c>
    </row>
    <row r="27" spans="1:7" x14ac:dyDescent="0.25">
      <c r="A27" t="str">
        <f>Break!A27</f>
        <v>Hyd_Deepak Kumar (1008537)</v>
      </c>
      <c r="B27" t="str">
        <f t="shared" si="4"/>
        <v>Deepak Kumar</v>
      </c>
      <c r="C27" s="12">
        <f t="shared" si="5"/>
        <v>0.31663194444444442</v>
      </c>
      <c r="D27" s="12">
        <f t="shared" si="0"/>
        <v>0.21199074074074073</v>
      </c>
      <c r="E27" s="12">
        <f t="shared" si="1"/>
        <v>2.1180555555555557E-2</v>
      </c>
      <c r="F27">
        <f t="shared" si="2"/>
        <v>72</v>
      </c>
      <c r="G27" s="13">
        <f t="shared" si="3"/>
        <v>0.65029060203969702</v>
      </c>
    </row>
    <row r="28" spans="1:7" x14ac:dyDescent="0.25">
      <c r="A28" t="str">
        <f>Break!A28</f>
        <v>Hyd_Deepika Nigam (1008538)</v>
      </c>
      <c r="B28" t="str">
        <f t="shared" si="4"/>
        <v>Deepika Nigam</v>
      </c>
      <c r="C28" s="12">
        <f t="shared" si="5"/>
        <v>0.34512731481481479</v>
      </c>
      <c r="D28" s="12">
        <f t="shared" si="0"/>
        <v>0.20607638888888888</v>
      </c>
      <c r="E28" s="12">
        <f t="shared" si="1"/>
        <v>4.9768518518518517E-2</v>
      </c>
      <c r="F28">
        <f t="shared" si="2"/>
        <v>71</v>
      </c>
      <c r="G28" s="13">
        <f t="shared" si="3"/>
        <v>0.55001844461584903</v>
      </c>
    </row>
    <row r="29" spans="1:7" x14ac:dyDescent="0.25">
      <c r="A29" t="str">
        <f>Break!A29</f>
        <v>Hyd_Dinesh Kumar (1008539)</v>
      </c>
      <c r="B29" t="str">
        <f t="shared" si="4"/>
        <v>Dinesh Kumar</v>
      </c>
      <c r="C29" s="12">
        <f t="shared" si="5"/>
        <v>0.34297453703703706</v>
      </c>
      <c r="D29" s="12">
        <f t="shared" si="0"/>
        <v>0.21273148148148149</v>
      </c>
      <c r="E29" s="12">
        <f t="shared" si="1"/>
        <v>4.8645833333333333E-2</v>
      </c>
      <c r="F29">
        <f t="shared" si="2"/>
        <v>70</v>
      </c>
      <c r="G29" s="13">
        <f t="shared" si="3"/>
        <v>0.51334660682347399</v>
      </c>
    </row>
    <row r="30" spans="1:7" x14ac:dyDescent="0.25">
      <c r="A30" t="str">
        <f>Break!A30</f>
        <v>Hyd_Hari Kumar (1008540)</v>
      </c>
      <c r="B30" t="str">
        <f t="shared" si="4"/>
        <v>Hari Kumar</v>
      </c>
      <c r="C30" s="12">
        <f t="shared" si="5"/>
        <v>0.34387731481481482</v>
      </c>
      <c r="D30" s="12">
        <f t="shared" si="0"/>
        <v>0.17480324074074075</v>
      </c>
      <c r="E30" s="12">
        <f t="shared" si="1"/>
        <v>0.11449074074074074</v>
      </c>
      <c r="F30">
        <f t="shared" si="2"/>
        <v>69</v>
      </c>
      <c r="G30" s="13">
        <f t="shared" si="3"/>
        <v>0.43603379219817601</v>
      </c>
    </row>
    <row r="31" spans="1:7" x14ac:dyDescent="0.25">
      <c r="A31" t="str">
        <f>Break!A31</f>
        <v>Hyd_Heeramani Choudhary (1008541)</v>
      </c>
      <c r="B31" t="str">
        <f t="shared" si="4"/>
        <v>Heeramani Choudhary</v>
      </c>
      <c r="C31" s="12">
        <f t="shared" si="5"/>
        <v>0.31069444444444444</v>
      </c>
      <c r="D31" s="12">
        <f t="shared" si="0"/>
        <v>0.1912962962962963</v>
      </c>
      <c r="E31" s="12">
        <f t="shared" si="1"/>
        <v>5.5787037037037038E-2</v>
      </c>
      <c r="F31">
        <f t="shared" si="2"/>
        <v>68</v>
      </c>
      <c r="G31" s="13">
        <f t="shared" si="3"/>
        <v>0.52954105200417201</v>
      </c>
    </row>
    <row r="32" spans="1:7" x14ac:dyDescent="0.25">
      <c r="A32" t="str">
        <f>Break!A32</f>
        <v>Hyd_Indra Pal (1008542)</v>
      </c>
      <c r="B32" t="str">
        <f t="shared" si="4"/>
        <v>Indra Pal</v>
      </c>
      <c r="C32" s="12">
        <f t="shared" si="5"/>
        <v>0.33329861111111109</v>
      </c>
      <c r="D32" s="12">
        <f t="shared" si="0"/>
        <v>0.21824074074074074</v>
      </c>
      <c r="E32" s="12">
        <f t="shared" si="1"/>
        <v>4.809027777777778E-2</v>
      </c>
      <c r="F32">
        <f t="shared" si="2"/>
        <v>67</v>
      </c>
      <c r="G32" s="13">
        <f t="shared" si="3"/>
        <v>0.56446852102649603</v>
      </c>
    </row>
    <row r="33" spans="1:7" x14ac:dyDescent="0.25">
      <c r="A33" t="str">
        <f>Break!A33</f>
        <v>Hyd_Indra Singh (1008543)</v>
      </c>
      <c r="B33" t="str">
        <f t="shared" si="4"/>
        <v>Indra Singh</v>
      </c>
      <c r="C33" s="12">
        <f t="shared" si="5"/>
        <v>0.34564814814814815</v>
      </c>
      <c r="D33" s="12">
        <f t="shared" si="0"/>
        <v>0.21184027777777778</v>
      </c>
      <c r="E33" s="12">
        <f t="shared" si="1"/>
        <v>8.9745370370370364E-2</v>
      </c>
      <c r="F33">
        <f t="shared" si="2"/>
        <v>66</v>
      </c>
      <c r="G33" s="13">
        <f t="shared" si="3"/>
        <v>0.49789043664612898</v>
      </c>
    </row>
    <row r="34" spans="1:7" x14ac:dyDescent="0.25">
      <c r="A34" t="str">
        <f>Break!A34</f>
        <v>Hyd_Jagdish Chandra (1008544)</v>
      </c>
      <c r="B34" t="str">
        <f t="shared" si="4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 x14ac:dyDescent="0.25">
      <c r="A35" t="str">
        <f>Break!A35</f>
        <v>Hyd_Jairaj Vatham (1008545)</v>
      </c>
      <c r="B35" t="str">
        <f t="shared" si="4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 x14ac:dyDescent="0.25">
      <c r="A36" t="str">
        <f>Break!A36</f>
        <v>Hyd_Janardan Mishra (1008546)</v>
      </c>
      <c r="B36" t="str">
        <f t="shared" si="4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 x14ac:dyDescent="0.25">
      <c r="A37" t="str">
        <f>Break!A37</f>
        <v>Hyd_Jitendra Kumar (1008547)</v>
      </c>
      <c r="B37" t="str">
        <f t="shared" si="4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 x14ac:dyDescent="0.25">
      <c r="A38" t="str">
        <f>Break!A38</f>
        <v>Hyd_John D'Costa (1008548)</v>
      </c>
      <c r="B38" t="str">
        <f t="shared" si="4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 x14ac:dyDescent="0.25">
      <c r="A39" t="str">
        <f>Break!A39</f>
        <v>Hyd_Julie S (1008549)</v>
      </c>
      <c r="B39" t="str">
        <f t="shared" si="4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 x14ac:dyDescent="0.25">
      <c r="A40" t="str">
        <f>Break!A40</f>
        <v>Hyd_Jyoti Tulsani (1008550)</v>
      </c>
      <c r="B40" t="str">
        <f t="shared" si="4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 x14ac:dyDescent="0.25">
      <c r="A41" t="str">
        <f>Break!A41</f>
        <v>Hyd_Kahkasha Parveen (1008551)</v>
      </c>
      <c r="B41" t="str">
        <f t="shared" si="4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 x14ac:dyDescent="0.25">
      <c r="A42" t="str">
        <f>Break!A42</f>
        <v>Hyd_Kailash Nath (1008552)</v>
      </c>
      <c r="B42" t="str">
        <f t="shared" si="4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 x14ac:dyDescent="0.25">
      <c r="A43" t="str">
        <f>Break!A43</f>
        <v>Hyd_Kalpana Agrawal (1008553)</v>
      </c>
      <c r="B43" t="str">
        <f t="shared" si="4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 x14ac:dyDescent="0.25">
      <c r="A44" t="str">
        <f>Break!A44</f>
        <v>Hyd_Kamini Kumar (1008554)</v>
      </c>
      <c r="B44" t="str">
        <f t="shared" si="4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 x14ac:dyDescent="0.25">
      <c r="A45" t="str">
        <f>Break!A45</f>
        <v>Hyd_Kamini Tiwari (1008555)</v>
      </c>
      <c r="B45" t="str">
        <f t="shared" si="4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 x14ac:dyDescent="0.25">
      <c r="A46" t="str">
        <f>Break!A46</f>
        <v>Hyd_Kavita Sharma (1008556)</v>
      </c>
      <c r="B46" t="str">
        <f t="shared" si="4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 x14ac:dyDescent="0.25">
      <c r="A47" t="str">
        <f>Break!A47</f>
        <v>Hyd_Kiran Khubchandani (1008557)</v>
      </c>
      <c r="B47" t="str">
        <f t="shared" si="4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 x14ac:dyDescent="0.25">
      <c r="A48" t="str">
        <f>Break!A48</f>
        <v>Hyd_Kisun Sah (1008558)</v>
      </c>
      <c r="B48" t="str">
        <f t="shared" si="4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 x14ac:dyDescent="0.25">
      <c r="A49" t="str">
        <f>Break!A49</f>
        <v>Hyd_Krishana Kumar (1008559)</v>
      </c>
      <c r="B49" t="str">
        <f t="shared" si="4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 x14ac:dyDescent="0.25">
      <c r="A50" t="str">
        <f>Break!A50</f>
        <v>Hyd_Kunj Bihari (1008560)</v>
      </c>
      <c r="B50" t="str">
        <f t="shared" si="4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 x14ac:dyDescent="0.25">
      <c r="A51" t="str">
        <f>Break!A51</f>
        <v>Hyd_Leena George (1008561)</v>
      </c>
      <c r="B51" t="str">
        <f t="shared" si="4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 x14ac:dyDescent="0.25">
      <c r="A52" t="str">
        <f>Break!A52</f>
        <v>Hyd_Lilly Lucy (1008562)</v>
      </c>
      <c r="B52" t="str">
        <f t="shared" si="4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 x14ac:dyDescent="0.25">
      <c r="A53" t="str">
        <f>Break!A53</f>
        <v>Hyd_Mangal Singh (1008563)</v>
      </c>
      <c r="B53" t="str">
        <f t="shared" si="4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 x14ac:dyDescent="0.25">
      <c r="A54" t="str">
        <f>Break!A54</f>
        <v>Hyd_Manisha Shrivastava (1008564)</v>
      </c>
      <c r="B54" t="str">
        <f t="shared" si="4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 x14ac:dyDescent="0.25">
      <c r="A55" t="str">
        <f>Break!A55</f>
        <v>Hyd_Manjusha Sinha (1008565)</v>
      </c>
      <c r="B55" t="str">
        <f t="shared" si="4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 x14ac:dyDescent="0.25">
      <c r="A56" t="str">
        <f>Break!A56</f>
        <v>Hyd_ManjuTiwari Lab (1008566)</v>
      </c>
      <c r="B56" t="str">
        <f t="shared" si="4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 x14ac:dyDescent="0.25">
      <c r="A57" t="str">
        <f>Break!A57</f>
        <v>Hyd_Manoj Kumar (1008567)</v>
      </c>
      <c r="B57" t="str">
        <f t="shared" si="4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 x14ac:dyDescent="0.25">
      <c r="A58" t="str">
        <f>Break!A58</f>
        <v>Hyd_Manoj Kumar (1008568)</v>
      </c>
      <c r="B58" t="str">
        <f t="shared" si="4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 x14ac:dyDescent="0.25">
      <c r="A59" t="str">
        <f>Break!A59</f>
        <v>Hyd_Masroor Adil (1008569)</v>
      </c>
      <c r="B59" t="str">
        <f t="shared" si="4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 x14ac:dyDescent="0.25">
      <c r="A60" t="str">
        <f>Break!A60</f>
        <v>Hyd_Meena Zinjare (1008570)</v>
      </c>
      <c r="B60" t="str">
        <f t="shared" si="4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 x14ac:dyDescent="0.25">
      <c r="A61" t="str">
        <f>Break!A61</f>
        <v>Hyd_Mehnaz Khan (1008571)</v>
      </c>
      <c r="B61" t="str">
        <f t="shared" si="4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 x14ac:dyDescent="0.25">
      <c r="A62" t="str">
        <f>Break!A62</f>
        <v>Hyd_Mercy Thampi (1008572)</v>
      </c>
      <c r="B62" t="str">
        <f t="shared" si="4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 x14ac:dyDescent="0.25">
      <c r="A63" t="str">
        <f>Break!A63</f>
        <v>Hyd_Miny Mole (1008573)</v>
      </c>
      <c r="B63" t="str">
        <f t="shared" si="4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 x14ac:dyDescent="0.25">
      <c r="A64" t="str">
        <f>Break!A64</f>
        <v>Hyd_Mohd Rafi (1008574)</v>
      </c>
      <c r="B64" t="str">
        <f t="shared" si="4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 x14ac:dyDescent="0.25">
      <c r="A65" t="str">
        <f>Break!A65</f>
        <v>Hyd_Mubeen Khan (1008575)</v>
      </c>
      <c r="B65" t="str">
        <f t="shared" si="4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 x14ac:dyDescent="0.25">
      <c r="A66" t="str">
        <f>Break!A66</f>
        <v>Hyd_Mukesh Nagar (1008576)</v>
      </c>
      <c r="B66" t="str">
        <f t="shared" si="4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 x14ac:dyDescent="0.25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 x14ac:dyDescent="0.25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 x14ac:dyDescent="0.25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 x14ac:dyDescent="0.25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 x14ac:dyDescent="0.25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 x14ac:dyDescent="0.25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 x14ac:dyDescent="0.25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 x14ac:dyDescent="0.25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 x14ac:dyDescent="0.25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 x14ac:dyDescent="0.25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 x14ac:dyDescent="0.25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 x14ac:dyDescent="0.25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 x14ac:dyDescent="0.25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 x14ac:dyDescent="0.25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 x14ac:dyDescent="0.25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 x14ac:dyDescent="0.25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 x14ac:dyDescent="0.25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 x14ac:dyDescent="0.25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 x14ac:dyDescent="0.25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 x14ac:dyDescent="0.25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 x14ac:dyDescent="0.25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 x14ac:dyDescent="0.25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 x14ac:dyDescent="0.25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 x14ac:dyDescent="0.25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 x14ac:dyDescent="0.25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 x14ac:dyDescent="0.25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 x14ac:dyDescent="0.25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 x14ac:dyDescent="0.25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 x14ac:dyDescent="0.25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 x14ac:dyDescent="0.25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 x14ac:dyDescent="0.25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 x14ac:dyDescent="0.25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 x14ac:dyDescent="0.25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 x14ac:dyDescent="0.25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 x14ac:dyDescent="0.25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 x14ac:dyDescent="0.25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 x14ac:dyDescent="0.25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 x14ac:dyDescent="0.25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 x14ac:dyDescent="0.25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 x14ac:dyDescent="0.25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 x14ac:dyDescent="0.25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 x14ac:dyDescent="0.25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 x14ac:dyDescent="0.25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 x14ac:dyDescent="0.25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 x14ac:dyDescent="0.25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 x14ac:dyDescent="0.25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 x14ac:dyDescent="0.25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 x14ac:dyDescent="0.25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 x14ac:dyDescent="0.25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 x14ac:dyDescent="0.25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 x14ac:dyDescent="0.25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 x14ac:dyDescent="0.25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 x14ac:dyDescent="0.25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 x14ac:dyDescent="0.25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 x14ac:dyDescent="0.25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 x14ac:dyDescent="0.25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 x14ac:dyDescent="0.25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 x14ac:dyDescent="0.25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 x14ac:dyDescent="0.25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 x14ac:dyDescent="0.25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 x14ac:dyDescent="0.25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 x14ac:dyDescent="0.25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 x14ac:dyDescent="0.25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 x14ac:dyDescent="0.25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 x14ac:dyDescent="0.25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 x14ac:dyDescent="0.25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 x14ac:dyDescent="0.25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 x14ac:dyDescent="0.25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 x14ac:dyDescent="0.25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 x14ac:dyDescent="0.25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 x14ac:dyDescent="0.25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 x14ac:dyDescent="0.25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 x14ac:dyDescent="0.25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 x14ac:dyDescent="0.25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 x14ac:dyDescent="0.25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 x14ac:dyDescent="0.25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 x14ac:dyDescent="0.25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 x14ac:dyDescent="0.25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 x14ac:dyDescent="0.25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 x14ac:dyDescent="0.25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 x14ac:dyDescent="0.25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 x14ac:dyDescent="0.25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 x14ac:dyDescent="0.25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 x14ac:dyDescent="0.25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0440A-26D0-46CE-9EF3-413CF6174922}">
  <sheetPr codeName="Tabelle1"/>
  <dimension ref="A1:G11"/>
  <sheetViews>
    <sheetView tabSelected="1" workbookViewId="0">
      <selection activeCell="H4" sqref="H4"/>
    </sheetView>
  </sheetViews>
  <sheetFormatPr baseColWidth="10" defaultRowHeight="15" x14ac:dyDescent="0.25"/>
  <cols>
    <col min="1" max="1" width="22.42578125" bestFit="1" customWidth="1"/>
    <col min="2" max="2" width="37.7109375" bestFit="1" customWidth="1"/>
    <col min="6" max="6" width="22.42578125" bestFit="1" customWidth="1"/>
    <col min="7" max="7" width="27.5703125" bestFit="1" customWidth="1"/>
  </cols>
  <sheetData>
    <row r="1" spans="1:7" x14ac:dyDescent="0.25">
      <c r="A1" s="17"/>
      <c r="B1" s="17"/>
      <c r="C1" s="16">
        <v>7</v>
      </c>
      <c r="F1" s="17"/>
      <c r="G1" s="17"/>
    </row>
    <row r="2" spans="1:7" x14ac:dyDescent="0.25">
      <c r="A2" s="17"/>
      <c r="B2" s="17"/>
      <c r="C2" s="21">
        <v>4</v>
      </c>
      <c r="F2" s="17"/>
      <c r="G2" s="17"/>
    </row>
    <row r="3" spans="1:7" x14ac:dyDescent="0.25">
      <c r="A3" s="18" t="s">
        <v>1010</v>
      </c>
      <c r="B3" s="19"/>
      <c r="F3" s="18" t="s">
        <v>1010</v>
      </c>
      <c r="G3" s="19"/>
    </row>
    <row r="4" spans="1:7" x14ac:dyDescent="0.25">
      <c r="A4" s="14" t="s">
        <v>1008</v>
      </c>
      <c r="B4" t="s">
        <v>1009</v>
      </c>
      <c r="F4" s="14" t="s">
        <v>1008</v>
      </c>
      <c r="G4" t="s">
        <v>1013</v>
      </c>
    </row>
    <row r="5" spans="1:7" x14ac:dyDescent="0.25">
      <c r="A5" s="15" t="s">
        <v>1011</v>
      </c>
      <c r="B5" s="12">
        <v>0.38646990740740739</v>
      </c>
      <c r="F5" s="15" t="s">
        <v>1003</v>
      </c>
      <c r="G5" s="20">
        <v>2.0905948641136138</v>
      </c>
    </row>
    <row r="6" spans="1:7" x14ac:dyDescent="0.25">
      <c r="A6" s="15" t="s">
        <v>1003</v>
      </c>
      <c r="B6" s="12">
        <v>1.3668402777777779</v>
      </c>
      <c r="F6" s="15" t="s">
        <v>1004</v>
      </c>
      <c r="G6" s="20">
        <v>1.064298009533315</v>
      </c>
    </row>
    <row r="7" spans="1:7" x14ac:dyDescent="0.25">
      <c r="A7" s="15" t="s">
        <v>1004</v>
      </c>
      <c r="B7" s="12">
        <v>0.66396990740740747</v>
      </c>
      <c r="F7" s="15" t="s">
        <v>1005</v>
      </c>
      <c r="G7" s="20">
        <v>1.122824596941316</v>
      </c>
    </row>
    <row r="8" spans="1:7" x14ac:dyDescent="0.25">
      <c r="A8" s="15" t="s">
        <v>1005</v>
      </c>
      <c r="B8" s="12">
        <v>0.67937500000000006</v>
      </c>
      <c r="F8" s="15" t="s">
        <v>1006</v>
      </c>
      <c r="G8" s="20">
        <v>1.7236731368386569</v>
      </c>
    </row>
    <row r="9" spans="1:7" x14ac:dyDescent="0.25">
      <c r="A9" s="15" t="s">
        <v>1006</v>
      </c>
      <c r="B9" s="12">
        <v>1.0142939814814815</v>
      </c>
    </row>
    <row r="10" spans="1:7" x14ac:dyDescent="0.25">
      <c r="A10" s="15" t="s">
        <v>1012</v>
      </c>
      <c r="B10" s="12">
        <v>0.36775462962962963</v>
      </c>
    </row>
    <row r="11" spans="1:7" x14ac:dyDescent="0.25">
      <c r="A11" s="15" t="s">
        <v>1007</v>
      </c>
      <c r="B11" s="12">
        <v>0.67259259259259263</v>
      </c>
    </row>
  </sheetData>
  <mergeCells count="4">
    <mergeCell ref="A1:B2"/>
    <mergeCell ref="A3:B3"/>
    <mergeCell ref="F1:G2"/>
    <mergeCell ref="F3:G3"/>
  </mergeCells>
  <pageMargins left="0.7" right="0.7" top="0.78740157499999996" bottom="0.78740157499999996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Spinner 1">
              <controlPr defaultSize="0" autoPict="0" macro="[0]!Modul3.Spinner1_Code">
                <anchor moveWithCells="1" sizeWithCells="1">
                  <from>
                    <xdr:col>1</xdr:col>
                    <xdr:colOff>371475</xdr:colOff>
                    <xdr:row>0</xdr:row>
                    <xdr:rowOff>28575</xdr:rowOff>
                  </from>
                  <to>
                    <xdr:col>1</xdr:col>
                    <xdr:colOff>695325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Spinner 3">
              <controlPr defaultSize="0" autoPict="0" macro="[0]!Modul3.Spinner1_Code">
                <anchor moveWithCells="1" sizeWithCells="1">
                  <from>
                    <xdr:col>1</xdr:col>
                    <xdr:colOff>1847850</xdr:colOff>
                    <xdr:row>10</xdr:row>
                    <xdr:rowOff>171450</xdr:rowOff>
                  </from>
                  <to>
                    <xdr:col>1</xdr:col>
                    <xdr:colOff>2171700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Spinner 4">
              <controlPr defaultSize="0" autoPict="0" macro="[0]!Spinner4_Code">
                <anchor moveWithCells="1" sizeWithCells="1">
                  <from>
                    <xdr:col>6</xdr:col>
                    <xdr:colOff>371475</xdr:colOff>
                    <xdr:row>0</xdr:row>
                    <xdr:rowOff>28575</xdr:rowOff>
                  </from>
                  <to>
                    <xdr:col>6</xdr:col>
                    <xdr:colOff>695325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Spinner 5">
              <controlPr defaultSize="0" autoPict="0" macro="[0]!Spinner4_Code">
                <anchor moveWithCells="1" sizeWithCells="1">
                  <from>
                    <xdr:col>6</xdr:col>
                    <xdr:colOff>1238250</xdr:colOff>
                    <xdr:row>9</xdr:row>
                    <xdr:rowOff>180975</xdr:rowOff>
                  </from>
                  <to>
                    <xdr:col>6</xdr:col>
                    <xdr:colOff>1562100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Break</vt:lpstr>
      <vt:lpstr>Efficiency</vt:lpstr>
      <vt:lpstr>OverAll Performance</vt:lpstr>
      <vt:lpstr>Summary</vt:lpstr>
      <vt:lpstr>Dashboard</vt:lpstr>
      <vt:lpstr>BData</vt:lpstr>
      <vt:lpstr>E_Data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Rana, Himesh</cp:lastModifiedBy>
  <dcterms:created xsi:type="dcterms:W3CDTF">2022-05-04T01:32:35Z</dcterms:created>
  <dcterms:modified xsi:type="dcterms:W3CDTF">2025-07-03T23:23:31Z</dcterms:modified>
</cp:coreProperties>
</file>